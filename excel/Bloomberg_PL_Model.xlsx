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\Innovexis Projects\Bloomberg P&amp;L Data Extraction\excel\"/>
    </mc:Choice>
  </mc:AlternateContent>
  <xr:revisionPtr revIDLastSave="0" documentId="13_ncr:1_{096EEC76-620E-4CF3-B35E-7854BD191CBA}" xr6:coauthVersionLast="47" xr6:coauthVersionMax="47" xr10:uidLastSave="{00000000-0000-0000-0000-000000000000}"/>
  <bookViews>
    <workbookView xWindow="-98" yWindow="-98" windowWidth="19396" windowHeight="11475" activeTab="2" xr2:uid="{7AB18EF4-EAE2-44A6-95E5-FDFFA4BEDE57}"/>
  </bookViews>
  <sheets>
    <sheet name="REV BY GEO" sheetId="9" r:id="rId1"/>
    <sheet name="Master P&amp;L" sheetId="1" r:id="rId2"/>
    <sheet name="Summary" sheetId="10" r:id="rId3"/>
    <sheet name="Cleaned Data" sheetId="5" r:id="rId4"/>
    <sheet name="Lookup" sheetId="2" r:id="rId5"/>
    <sheet name="Comparable Regional View" sheetId="6" r:id="rId6"/>
    <sheet name="Raw Region Data " sheetId="8" r:id="rId7"/>
  </sheets>
  <externalReferences>
    <externalReference r:id="rId8"/>
  </externalReferences>
  <definedNames>
    <definedName name="ExternalData_1" localSheetId="3" hidden="1">'Cleaned Data'!$A$1:$C$250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0" l="1"/>
  <c r="F17" i="10"/>
  <c r="D17" i="10"/>
  <c r="B17" i="10"/>
  <c r="H14" i="10"/>
  <c r="F14" i="10"/>
  <c r="D14" i="10"/>
  <c r="B14" i="10"/>
  <c r="H11" i="10"/>
  <c r="F11" i="10"/>
  <c r="D11" i="10"/>
  <c r="B11" i="10"/>
  <c r="H8" i="10"/>
  <c r="F8" i="10"/>
  <c r="D8" i="10"/>
  <c r="B8" i="10"/>
  <c r="H5" i="10"/>
  <c r="F5" i="10"/>
  <c r="D5" i="10"/>
  <c r="B5" i="10"/>
  <c r="B15" i="6"/>
  <c r="B21" i="6"/>
  <c r="B22" i="6"/>
  <c r="B23" i="6"/>
  <c r="B24" i="6"/>
  <c r="B25" i="6"/>
  <c r="B20" i="6"/>
  <c r="B13" i="6"/>
  <c r="B14" i="6"/>
  <c r="B16" i="6"/>
  <c r="B17" i="6"/>
  <c r="B12" i="6"/>
  <c r="C5" i="6"/>
  <c r="D5" i="6"/>
  <c r="E5" i="6"/>
  <c r="B5" i="6"/>
  <c r="E4" i="6"/>
  <c r="D4" i="6"/>
  <c r="C4" i="6"/>
  <c r="B4" i="6"/>
  <c r="C6" i="6"/>
  <c r="D6" i="6"/>
  <c r="E6" i="6"/>
  <c r="C8" i="6"/>
  <c r="D8" i="6"/>
  <c r="E8" i="6"/>
  <c r="C9" i="6"/>
  <c r="D9" i="6"/>
  <c r="E9" i="6"/>
  <c r="F4" i="6"/>
  <c r="G4" i="6"/>
  <c r="H4" i="6"/>
  <c r="I4" i="6"/>
  <c r="F5" i="6"/>
  <c r="G5" i="6"/>
  <c r="H5" i="6"/>
  <c r="I5" i="6"/>
  <c r="F6" i="6"/>
  <c r="G6" i="6"/>
  <c r="H6" i="6"/>
  <c r="I6" i="6"/>
  <c r="F8" i="6"/>
  <c r="G8" i="6"/>
  <c r="H8" i="6"/>
  <c r="I8" i="6"/>
  <c r="F9" i="6"/>
  <c r="G9" i="6"/>
  <c r="H9" i="6"/>
  <c r="I9" i="6"/>
  <c r="B9" i="6"/>
  <c r="B8" i="6"/>
  <c r="B6" i="6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K4" i="1"/>
  <c r="J4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B60" i="1" s="1"/>
  <c r="C15" i="1"/>
  <c r="C60" i="1" s="1"/>
  <c r="D15" i="1"/>
  <c r="D60" i="1" s="1"/>
  <c r="E15" i="1"/>
  <c r="E60" i="1" s="1"/>
  <c r="F15" i="1"/>
  <c r="F60" i="1" s="1"/>
  <c r="G15" i="1"/>
  <c r="G60" i="1" s="1"/>
  <c r="H15" i="1"/>
  <c r="H60" i="1" s="1"/>
  <c r="I15" i="1"/>
  <c r="I60" i="1" s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H46" i="1" s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E44" i="1" s="1"/>
  <c r="F24" i="1"/>
  <c r="G24" i="1"/>
  <c r="H24" i="1"/>
  <c r="I24" i="1"/>
  <c r="I44" i="1" s="1"/>
  <c r="B25" i="1"/>
  <c r="B61" i="1" s="1"/>
  <c r="C25" i="1"/>
  <c r="C61" i="1" s="1"/>
  <c r="D25" i="1"/>
  <c r="D61" i="1" s="1"/>
  <c r="E25" i="1"/>
  <c r="E61" i="1" s="1"/>
  <c r="F25" i="1"/>
  <c r="F61" i="1" s="1"/>
  <c r="G25" i="1"/>
  <c r="G61" i="1" s="1"/>
  <c r="H25" i="1"/>
  <c r="H61" i="1" s="1"/>
  <c r="I25" i="1"/>
  <c r="I61" i="1" s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B57" i="1" s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C4" i="1"/>
  <c r="D4" i="1"/>
  <c r="E4" i="1"/>
  <c r="F4" i="1"/>
  <c r="G4" i="1"/>
  <c r="H4" i="1"/>
  <c r="I4" i="1"/>
  <c r="B4" i="1"/>
  <c r="B66" i="1" s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4" i="1"/>
  <c r="B33" i="6" l="1"/>
  <c r="B30" i="6"/>
  <c r="B32" i="6"/>
  <c r="B28" i="6"/>
  <c r="B29" i="6"/>
  <c r="C44" i="1"/>
  <c r="B69" i="1"/>
  <c r="D46" i="1"/>
  <c r="I46" i="1"/>
  <c r="C46" i="1"/>
  <c r="F44" i="1"/>
  <c r="H44" i="1"/>
  <c r="E46" i="1"/>
  <c r="G46" i="1"/>
  <c r="D44" i="1"/>
  <c r="G44" i="1"/>
  <c r="B64" i="1"/>
  <c r="C86" i="1"/>
  <c r="F46" i="1"/>
  <c r="B65" i="1"/>
  <c r="B86" i="1"/>
  <c r="B78" i="1"/>
  <c r="B77" i="1"/>
  <c r="C53" i="1"/>
  <c r="C42" i="1"/>
  <c r="D42" i="1"/>
  <c r="D53" i="1"/>
  <c r="E53" i="1"/>
  <c r="E42" i="1"/>
  <c r="F53" i="1"/>
  <c r="F42" i="1"/>
  <c r="G42" i="1"/>
  <c r="G53" i="1"/>
  <c r="H53" i="1"/>
  <c r="H42" i="1"/>
  <c r="I42" i="1"/>
  <c r="I53" i="1"/>
  <c r="B75" i="1"/>
  <c r="B62" i="1"/>
  <c r="B74" i="1"/>
  <c r="C75" i="1"/>
  <c r="C62" i="1"/>
  <c r="C74" i="1"/>
  <c r="D62" i="1"/>
  <c r="D75" i="1"/>
  <c r="D74" i="1"/>
  <c r="E62" i="1"/>
  <c r="E75" i="1"/>
  <c r="E74" i="1"/>
  <c r="F62" i="1"/>
  <c r="F75" i="1"/>
  <c r="F74" i="1"/>
  <c r="G62" i="1"/>
  <c r="G75" i="1"/>
  <c r="G74" i="1"/>
  <c r="H75" i="1"/>
  <c r="H62" i="1"/>
  <c r="H74" i="1"/>
  <c r="I62" i="1"/>
  <c r="I74" i="1"/>
  <c r="I75" i="1"/>
  <c r="B89" i="1"/>
  <c r="B84" i="1"/>
  <c r="C84" i="1"/>
  <c r="C89" i="1"/>
  <c r="C52" i="1"/>
  <c r="C40" i="1"/>
  <c r="D40" i="1"/>
  <c r="D52" i="1"/>
  <c r="E52" i="1"/>
  <c r="E40" i="1"/>
  <c r="F40" i="1"/>
  <c r="F52" i="1"/>
  <c r="G52" i="1"/>
  <c r="G40" i="1"/>
  <c r="H40" i="1"/>
  <c r="H52" i="1"/>
  <c r="I40" i="1"/>
  <c r="B48" i="1"/>
  <c r="I52" i="1"/>
  <c r="C58" i="1"/>
  <c r="C54" i="1"/>
  <c r="C57" i="1"/>
  <c r="D54" i="1"/>
  <c r="D57" i="1"/>
  <c r="D58" i="1"/>
  <c r="E54" i="1"/>
  <c r="E57" i="1"/>
  <c r="E58" i="1"/>
  <c r="F57" i="1"/>
  <c r="F54" i="1"/>
  <c r="F58" i="1"/>
  <c r="G57" i="1"/>
  <c r="G54" i="1"/>
  <c r="G58" i="1"/>
  <c r="H57" i="1"/>
  <c r="H54" i="1"/>
  <c r="H58" i="1"/>
  <c r="I58" i="1"/>
  <c r="I57" i="1"/>
  <c r="I54" i="1"/>
  <c r="B85" i="1"/>
  <c r="B90" i="1"/>
  <c r="C85" i="1"/>
  <c r="C90" i="1"/>
  <c r="D90" i="1" s="1"/>
  <c r="B70" i="1"/>
  <c r="D89" i="1" l="1"/>
  <c r="B7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D85F74-0EB7-4E8D-BC58-EEFC5E17AA47}" keepAlive="1" name="Query - Bloomberg_PL_Cleaned (2)" description="Connection to the 'Bloomberg_PL_Cleaned (2)' query in the workbook." type="5" refreshedVersion="8" background="1" saveData="1">
    <dbPr connection="Provider=Microsoft.Mashup.OleDb.1;Data Source=$Workbook$;Location=&quot;Bloomberg_PL_Cleaned (2)&quot;;Extended Properties=&quot;&quot;" command="SELECT * FROM [Bloomberg_PL_Cleaned (2)]"/>
  </connection>
</connections>
</file>

<file path=xl/sharedStrings.xml><?xml version="1.0" encoding="utf-8"?>
<sst xmlns="http://schemas.openxmlformats.org/spreadsheetml/2006/main" count="1056" uniqueCount="275">
  <si>
    <t xml:space="preserve">Line Item </t>
  </si>
  <si>
    <t xml:space="preserve">Sign Conversion </t>
  </si>
  <si>
    <t xml:space="preserve">Statement Group </t>
  </si>
  <si>
    <t>Basic EPS</t>
  </si>
  <si>
    <t>EPS / Per Share</t>
  </si>
  <si>
    <t>Per Share</t>
  </si>
  <si>
    <t>Cost of Goods Sold</t>
  </si>
  <si>
    <t>COGS</t>
  </si>
  <si>
    <t>Negative</t>
  </si>
  <si>
    <t>Diluted EPS</t>
  </si>
  <si>
    <t>Distribution and Selling Expense</t>
  </si>
  <si>
    <t>Operating Expenses</t>
  </si>
  <si>
    <t>Dividend Per Share (DPS)</t>
  </si>
  <si>
    <t>Effective Tax Rate %</t>
  </si>
  <si>
    <t>Below EBIT</t>
  </si>
  <si>
    <t>Percentage</t>
  </si>
  <si>
    <t>Financial Expenses</t>
  </si>
  <si>
    <t>Financial Income</t>
  </si>
  <si>
    <t>Positive</t>
  </si>
  <si>
    <t>GROSS PROFIT</t>
  </si>
  <si>
    <t>Gross Profit</t>
  </si>
  <si>
    <t>General &amp; Administration</t>
  </si>
  <si>
    <t>Goodwill / Intangible Impairment</t>
  </si>
  <si>
    <t>Gross Margin %</t>
  </si>
  <si>
    <t>Margin</t>
  </si>
  <si>
    <t>Income Before Taxes</t>
  </si>
  <si>
    <t>Income Tax Expense</t>
  </si>
  <si>
    <t>Less: Minority Interest</t>
  </si>
  <si>
    <t>Marketing and Point-of-Sale</t>
  </si>
  <si>
    <t>NET INCOME ATTRIB. TO SHAREHOLDERS</t>
  </si>
  <si>
    <t>Net Income</t>
  </si>
  <si>
    <t>Net Income (Total)</t>
  </si>
  <si>
    <t>Net Income from Continuing Ops.</t>
  </si>
  <si>
    <t>Net Income from Disc. Operations</t>
  </si>
  <si>
    <t>OPERATING PROFIT (EBIT)</t>
  </si>
  <si>
    <t>Operating Profit</t>
  </si>
  <si>
    <t>Operating Margin %</t>
  </si>
  <si>
    <t>Other Businesses</t>
  </si>
  <si>
    <t>Revenue</t>
  </si>
  <si>
    <t>Other Operating Income</t>
  </si>
  <si>
    <t>Operating Income</t>
  </si>
  <si>
    <t>Retail</t>
  </si>
  <si>
    <t>Revenue Growth Y/Y</t>
  </si>
  <si>
    <t>Growth</t>
  </si>
  <si>
    <t>Royalty and Commission Income</t>
  </si>
  <si>
    <t>Sundry Expenses</t>
  </si>
  <si>
    <t>Total Net Revenue</t>
  </si>
  <si>
    <t>Total Other Operating Exp.</t>
  </si>
  <si>
    <t>Wholesale</t>
  </si>
  <si>
    <t>Wtd. Avg Shares - Basic (mn)</t>
  </si>
  <si>
    <t>Share Data</t>
  </si>
  <si>
    <t>Shares</t>
  </si>
  <si>
    <t>Wtd. Avg Shares - Diluted (mn)</t>
  </si>
  <si>
    <t>Line Item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</si>
  <si>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</si>
  <si>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</si>
  <si>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</si>
  <si>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</si>
  <si>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</si>
  <si>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</si>
  <si>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</si>
  <si>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</si>
  <si>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Fiscal Year</t>
  </si>
  <si>
    <t>Value</t>
  </si>
  <si>
    <t>Other Operating Expenses</t>
  </si>
  <si>
    <t>EUR mn, except per-share data</t>
  </si>
  <si>
    <t>Source Line Item</t>
  </si>
  <si>
    <t>Comparable Regional Revenue (EUR mn)</t>
  </si>
  <si>
    <t>Region</t>
  </si>
  <si>
    <t>EMEA</t>
  </si>
  <si>
    <t>North America</t>
  </si>
  <si>
    <t>Greater China</t>
  </si>
  <si>
    <t>Asia-Pacific</t>
  </si>
  <si>
    <t>Latin America</t>
  </si>
  <si>
    <t>2016</t>
  </si>
  <si>
    <t>2017</t>
  </si>
  <si>
    <t>2018</t>
  </si>
  <si>
    <t>2019</t>
  </si>
  <si>
    <t>REPORTED SEGMENTATION - FY2016 to FY2019</t>
  </si>
  <si>
    <t>Western Europe</t>
  </si>
  <si>
    <t>5,452.0</t>
  </si>
  <si>
    <t>5,856.0</t>
  </si>
  <si>
    <t>5,764.0</t>
  </si>
  <si>
    <t>5,957.0</t>
  </si>
  <si>
    <t>3,068.0</t>
  </si>
  <si>
    <t>3,947.0</t>
  </si>
  <si>
    <t>4,361.0</t>
  </si>
  <si>
    <t>4,917.0</t>
  </si>
  <si>
    <t xml:space="preserve">Grtr China </t>
  </si>
  <si>
    <t>2,976.0</t>
  </si>
  <si>
    <t>3,756.0</t>
  </si>
  <si>
    <t>4,164.0</t>
  </si>
  <si>
    <t>4,728.0</t>
  </si>
  <si>
    <t>Russia / CIS</t>
  </si>
  <si>
    <t>721.0</t>
  </si>
  <si>
    <t>700.0</t>
  </si>
  <si>
    <t>679.0</t>
  </si>
  <si>
    <t>686.0</t>
  </si>
  <si>
    <t>1,645.0</t>
  </si>
  <si>
    <t>1,740.0</t>
  </si>
  <si>
    <t>1,688.0</t>
  </si>
  <si>
    <t>1,726.0</t>
  </si>
  <si>
    <t>Other Asian Mkts</t>
  </si>
  <si>
    <t>2,421.0</t>
  </si>
  <si>
    <t>2,716.0</t>
  </si>
  <si>
    <t>2,761.0</t>
  </si>
  <si>
    <t>2,931.0</t>
  </si>
  <si>
    <t>Emerging Markets</t>
  </si>
  <si>
    <t>1,220.0</t>
  </si>
  <si>
    <t>1,400.0</t>
  </si>
  <si>
    <t>1,512.0</t>
  </si>
  <si>
    <t>980.0</t>
  </si>
  <si>
    <t>1,103.0</t>
  </si>
  <si>
    <t>986.0</t>
  </si>
  <si>
    <t>969.0</t>
  </si>
  <si>
    <t>ADS GY Equity  -  Net Revenue by Reporting Region (SYNTHETIC SAMPLE)</t>
  </si>
  <si>
    <t>Units: EUR mn.  Regional segmentation was restated with effect from FY2020; pre-FY2020 regions are not directly comparable.</t>
  </si>
  <si>
    <t>2020</t>
  </si>
  <si>
    <t>2021</t>
  </si>
  <si>
    <t>2022</t>
  </si>
  <si>
    <t>2023</t>
  </si>
  <si>
    <t>—</t>
  </si>
  <si>
    <t>REPORTED SEGMENTATION - FY2020 to FY2023</t>
  </si>
  <si>
    <t>7,005.0</t>
  </si>
  <si>
    <t>7,432.0</t>
  </si>
  <si>
    <t>7,879.0</t>
  </si>
  <si>
    <t>7,585.0</t>
  </si>
  <si>
    <t>4,127.0</t>
  </si>
  <si>
    <t>5,330.0</t>
  </si>
  <si>
    <t>5,921.0</t>
  </si>
  <si>
    <t>5,142.0</t>
  </si>
  <si>
    <t>4,346.0</t>
  </si>
  <si>
    <t>4,247.0</t>
  </si>
  <si>
    <t>3,534.0</t>
  </si>
  <si>
    <t>3,257.0</t>
  </si>
  <si>
    <t>2,342.0</t>
  </si>
  <si>
    <t>2,060.0</t>
  </si>
  <si>
    <t>2,656.0</t>
  </si>
  <si>
    <t>2,807.0</t>
  </si>
  <si>
    <t>1,310.0</t>
  </si>
  <si>
    <t>1,507.0</t>
  </si>
  <si>
    <t>1,891.0</t>
  </si>
  <si>
    <t>2,057.0</t>
  </si>
  <si>
    <t>714.0</t>
  </si>
  <si>
    <t>658.0</t>
  </si>
  <si>
    <t>630.0</t>
  </si>
  <si>
    <t>579.0</t>
  </si>
  <si>
    <t>TOTAL NET REVENUE</t>
  </si>
  <si>
    <t>18,483.0</t>
  </si>
  <si>
    <t>21,218.0</t>
  </si>
  <si>
    <t>21,915.0</t>
  </si>
  <si>
    <t>23,640.0</t>
  </si>
  <si>
    <t>19,844.0</t>
  </si>
  <si>
    <t>21,234.0</t>
  </si>
  <si>
    <t>22,511.0</t>
  </si>
  <si>
    <t>21,427.0</t>
  </si>
  <si>
    <t>Use the region mapping table on the LOOKUP TABLES sheet to build a single comparable regional view for FY2016-FY2023.</t>
  </si>
  <si>
    <t>SYNTHETIC SAMPLE DATA - classroom use only.</t>
  </si>
  <si>
    <t>Statement Group</t>
  </si>
  <si>
    <t>Sign Convention</t>
  </si>
  <si>
    <t>Revenue YoY Growth</t>
  </si>
  <si>
    <t>Gross Profit YoY Growth</t>
  </si>
  <si>
    <t>Operating Profit YoY Growth</t>
  </si>
  <si>
    <t>Net Income YoY Growth</t>
  </si>
  <si>
    <t>Revenue CAGR</t>
  </si>
  <si>
    <t>Net Income CAGR</t>
  </si>
  <si>
    <t>Revenue Index</t>
  </si>
  <si>
    <t>Gross Profit Index</t>
  </si>
  <si>
    <t>Total Operating Expenses Index</t>
  </si>
  <si>
    <t>Revenue vs Operating Expense Growth</t>
  </si>
  <si>
    <t>Operating Expense % of Revenue</t>
  </si>
  <si>
    <t>Operating Expense YoY Growth</t>
  </si>
  <si>
    <t>Net Margin %</t>
  </si>
  <si>
    <t>Revenue — Best / Worst Year</t>
  </si>
  <si>
    <t>Operating Profit — Best / Worst Year</t>
  </si>
  <si>
    <t>EPS — Best / Worst Year</t>
  </si>
  <si>
    <t>Base Effect Year</t>
  </si>
  <si>
    <t>FY2021 — unusually high growth partly reflects the low FY2020 base</t>
  </si>
  <si>
    <t>N/A</t>
  </si>
  <si>
    <t>Gross Margin Change</t>
  </si>
  <si>
    <t>Operating Margin Change</t>
  </si>
  <si>
    <t>Net Margin Change</t>
  </si>
  <si>
    <t>EPS Reconciliation — Profit vs Share Count</t>
  </si>
  <si>
    <t>Basic EPS — Implied</t>
  </si>
  <si>
    <t>Diluted EPS — Implied</t>
  </si>
  <si>
    <t>Effective Tax Rate &gt;100% — Year</t>
  </si>
  <si>
    <t>Effective Tax Rate &gt;100% — Rate</t>
  </si>
  <si>
    <t>Key management ratio — shows how much of revenue is consumed by operating expenses</t>
  </si>
  <si>
    <t>Revenue Mix — FY2016 vs FY2023</t>
  </si>
  <si>
    <t>Wholesale vs Retail Growth</t>
  </si>
  <si>
    <t>Retail Revenue Growth</t>
  </si>
  <si>
    <t>Wholesale Revenue Growth</t>
  </si>
  <si>
    <t>Raw Region</t>
  </si>
  <si>
    <t>Comparable Region</t>
  </si>
  <si>
    <t>Grtr China</t>
  </si>
  <si>
    <t>FY2016–FY2023 Growth %</t>
  </si>
  <si>
    <t>FY2019–FY2023 Revenue Change (EUR mn)</t>
  </si>
  <si>
    <t>FY2019–FY2023 Contribution to Total Revenue Change</t>
  </si>
  <si>
    <t>Not meaningful because FY2023 Net Income is negative</t>
  </si>
  <si>
    <t>FY2023 Operating Expense % of Revenue</t>
  </si>
  <si>
    <t>FY2022–FY2023 Net Margin Explanation</t>
  </si>
  <si>
    <t>Operating Margin</t>
  </si>
  <si>
    <t>Explanation</t>
  </si>
  <si>
    <t>Operating margin remained unchanged at 1.70%, but higher financial expenses reduced income before tax from €232m to €175m. Higher tax expense then pushed net income from €58m to -€26m, causing net margin to fall from 0.22% to -0.15%.</t>
  </si>
  <si>
    <t>Product Category Mix — FY2016 vs FY2023</t>
  </si>
  <si>
    <t>Footwear</t>
  </si>
  <si>
    <t>Apparel</t>
  </si>
  <si>
    <t>Acc. &amp; Gear</t>
  </si>
  <si>
    <t>Brand Mix</t>
  </si>
  <si>
    <t xml:space="preserve">FY2016 </t>
  </si>
  <si>
    <t>Reebok</t>
  </si>
  <si>
    <r>
      <t>100.00%</t>
    </r>
    <r>
      <rPr>
        <sz val="11"/>
        <color theme="1"/>
        <rFont val="Calibri"/>
        <family val="2"/>
        <scheme val="minor"/>
      </rPr>
      <t>*</t>
    </r>
  </si>
  <si>
    <t>Adidas</t>
  </si>
  <si>
    <t>FY2023 brand mix reflects only reported brand-level revenue; Reebok revenue is not reported after divestment</t>
  </si>
  <si>
    <t>Revenue per Employee</t>
  </si>
  <si>
    <t>Employees (FTE, year-end)</t>
  </si>
  <si>
    <t>Revenue per Employee (€'000)</t>
  </si>
  <si>
    <t>Trend</t>
  </si>
  <si>
    <t>Revenue per employee is a broad productivity proxy; it does not capture employee mix, outsourcing, part-time work, or differences in roles and business structure.</t>
  </si>
  <si>
    <t>Limitation</t>
  </si>
  <si>
    <t>Revenue per employee increased from €304.9K in FY2016 to a peak of €397.1K in FY2019, fell to €318.6K in FY2020, and recovered to €375.5K by FY2023.</t>
  </si>
  <si>
    <t>Master P&amp;L Analysis — EUR mn unless stated</t>
  </si>
  <si>
    <t>Bloomberg P&amp;L Analysis — Executive Summary</t>
  </si>
  <si>
    <t>ADS GY Equity | FY2016–FY2023 | EUR mn unless stated</t>
  </si>
  <si>
    <t>KEY PERFORMANCE INDICATORS</t>
  </si>
  <si>
    <t>FY2023 Revenue</t>
  </si>
  <si>
    <t>FY2023 Operating Margin</t>
  </si>
  <si>
    <t>FY2023 Net Margin</t>
  </si>
  <si>
    <t>PERFORMANCE SNAPSHOT</t>
  </si>
  <si>
    <t>FY2016 Revenue</t>
  </si>
  <si>
    <t>Revenue Change</t>
  </si>
  <si>
    <t>PROFITABILITY SNAPSHOT</t>
  </si>
  <si>
    <t>FY2019 Operating Margin</t>
  </si>
  <si>
    <t>REVENUE MIX</t>
  </si>
  <si>
    <t>FY2016 Retail Share</t>
  </si>
  <si>
    <t>FY2023 Retail Share</t>
  </si>
  <si>
    <t>FY2016 Wholesale Share</t>
  </si>
  <si>
    <t>FY2023 Wholesale Share</t>
  </si>
  <si>
    <t>Peak Revenue Year</t>
  </si>
  <si>
    <t>KEY INSIGHTS</t>
  </si>
  <si>
    <t>Operating Profit Best Year</t>
  </si>
  <si>
    <t>Best EPS Year</t>
  </si>
  <si>
    <t>Tax Rate &gt;100% Year</t>
  </si>
  <si>
    <t>FY2022–FY2023 Weakness</t>
  </si>
  <si>
    <t>355 → 355</t>
  </si>
  <si>
    <t>Operating margin remained ~1.7%</t>
  </si>
  <si>
    <t>232 → 175</t>
  </si>
  <si>
    <t>Lower due to higher net financial expense</t>
  </si>
  <si>
    <t>-174 → -201</t>
  </si>
  <si>
    <t>Higher tax expense further reduced net inco</t>
  </si>
  <si>
    <t>58 → -26</t>
  </si>
  <si>
    <t>Net income turned negative in FY2023</t>
  </si>
  <si>
    <t>Overall Explanation</t>
  </si>
  <si>
    <t>Below-EBIT items drove the FY2023 net-margin decline</t>
  </si>
  <si>
    <t>REVENUE MIX CHANGE</t>
  </si>
  <si>
    <t>31.60% → 45.30%</t>
  </si>
  <si>
    <t>+13.70 pp</t>
  </si>
  <si>
    <t>Wholesale Share Change</t>
  </si>
  <si>
    <t>63.10% → 52.00%</t>
  </si>
  <si>
    <t>-11.10 pp</t>
  </si>
  <si>
    <t>OPERATING EXPENSE INSIGHT</t>
  </si>
  <si>
    <t>FY2023 Operating Expense / Revenue</t>
  </si>
  <si>
    <t>Largest Share Increase</t>
  </si>
  <si>
    <t>Distribution and selling</t>
  </si>
  <si>
    <t>21.8% → 25.8%</t>
  </si>
  <si>
    <t>Impairment</t>
  </si>
  <si>
    <t>BRAND DISCLOSURE</t>
  </si>
  <si>
    <t>Reebok was divested effective FY2022; brand-level revenue is not reported thereafter.</t>
  </si>
  <si>
    <t>EXECUTIVE TAKEAWAYS</t>
  </si>
  <si>
    <t>Revenue grew modestly over FY2016–FY2023, with 2.13% CAGR.</t>
  </si>
  <si>
    <t>FY2019 was the peak profitability year, while FY2023 ended with negative net income.</t>
  </si>
  <si>
    <t>Retail increased its revenue mix while wholesale share declined.</t>
  </si>
  <si>
    <t>Operating expenses reached 46.6% of revenue in FY2023, limiting operating margin.</t>
  </si>
  <si>
    <t>FY2023 net margin was further pressured by below-EBIT items and higher tax expense.</t>
  </si>
  <si>
    <t>€194m goodwill/intangible impairment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</si>
</sst>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;\(#,##0.0\)"/>
    <numFmt numFmtId="166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</font>
    <font>
      <sz val="10"/>
      <name val="Arial"/>
    </font>
    <font>
      <sz val="8"/>
      <color rgb="FF808080"/>
      <name val="Arial"/>
    </font>
    <font>
      <sz val="11"/>
      <color theme="1"/>
      <name val="Arial Black"/>
      <family val="2"/>
    </font>
    <font>
      <sz val="10"/>
      <color theme="1"/>
      <name val="Arial Unicode MS"/>
    </font>
    <font>
      <b/>
      <sz val="11"/>
      <color theme="1"/>
      <name val="Arial"/>
      <family val="2"/>
    </font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2" fontId="0" fillId="0" borderId="0" xfId="0" applyNumberFormat="1"/>
    <xf numFmtId="1" fontId="0" fillId="0" borderId="0" xfId="0" applyNumberFormat="1"/>
    <xf numFmtId="1" fontId="4" fillId="0" borderId="0" xfId="0" applyNumberFormat="1" applyFont="1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/>
    <xf numFmtId="10" fontId="7" fillId="0" borderId="0" xfId="0" applyNumberFormat="1" applyFont="1"/>
    <xf numFmtId="3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Revenue &amp; Operating Margin — FY2016–FY2023</a:t>
            </a:r>
            <a:endParaRPr lang="en-IN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'Master P&amp;L'!$B$3:$I$3</c:f>
              <c:strCache>
                <c:ptCount val="8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</c:strCache>
            </c:strRef>
          </c:cat>
          <c:val>
            <c:numRef>
              <c:f>'Master P&amp;L'!$B$32:$I$32</c:f>
              <c:numCache>
                <c:formatCode>#,##0.0;\(#,##0.0\)</c:formatCode>
                <c:ptCount val="8"/>
                <c:pt idx="0">
                  <c:v>18483</c:v>
                </c:pt>
                <c:pt idx="1">
                  <c:v>21218</c:v>
                </c:pt>
                <c:pt idx="2">
                  <c:v>21915</c:v>
                </c:pt>
                <c:pt idx="3">
                  <c:v>23640</c:v>
                </c:pt>
                <c:pt idx="4">
                  <c:v>19844</c:v>
                </c:pt>
                <c:pt idx="5">
                  <c:v>21234</c:v>
                </c:pt>
                <c:pt idx="6">
                  <c:v>22511</c:v>
                </c:pt>
                <c:pt idx="7" formatCode="General">
                  <c:v>21427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4-4C8B-8474-BCBB4D95F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9529519"/>
        <c:axId val="1655856591"/>
      </c:barChart>
      <c:lineChart>
        <c:grouping val="standard"/>
        <c:varyColors val="0"/>
        <c:ser>
          <c:idx val="1"/>
          <c:order val="1"/>
          <c:tx>
            <c:v>Operating Margin 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'Master P&amp;L'!$B$3:$I$3</c:f>
              <c:strCache>
                <c:ptCount val="8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</c:strCache>
            </c:strRef>
          </c:cat>
          <c:val>
            <c:numRef>
              <c:f>'Master P&amp;L'!$B$61:$I$61</c:f>
              <c:numCache>
                <c:formatCode>0.00%</c:formatCode>
                <c:ptCount val="8"/>
                <c:pt idx="0">
                  <c:v>7.5999999999999998E-2</c:v>
                </c:pt>
                <c:pt idx="1">
                  <c:v>9.4E-2</c:v>
                </c:pt>
                <c:pt idx="2">
                  <c:v>0.10800000000000001</c:v>
                </c:pt>
                <c:pt idx="3">
                  <c:v>0.111</c:v>
                </c:pt>
                <c:pt idx="4">
                  <c:v>0.04</c:v>
                </c:pt>
                <c:pt idx="5">
                  <c:v>8.6999999999999994E-2</c:v>
                </c:pt>
                <c:pt idx="6">
                  <c:v>1.7000000000000001E-2</c:v>
                </c:pt>
                <c:pt idx="7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34-4C8B-8474-BCBB4D95F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849183"/>
        <c:axId val="1655948271"/>
      </c:lineChart>
      <c:catAx>
        <c:axId val="176952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56591"/>
        <c:crosses val="autoZero"/>
        <c:auto val="1"/>
        <c:lblAlgn val="ctr"/>
        <c:lblOffset val="100"/>
        <c:noMultiLvlLbl val="0"/>
      </c:catAx>
      <c:valAx>
        <c:axId val="165585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;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29519"/>
        <c:crosses val="autoZero"/>
        <c:crossBetween val="between"/>
      </c:valAx>
      <c:valAx>
        <c:axId val="165594827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49183"/>
        <c:crosses val="max"/>
        <c:crossBetween val="between"/>
      </c:valAx>
      <c:catAx>
        <c:axId val="1865849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59482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Profitability Margins — FY2016–FY2023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'Master P&amp;L'!$B$3:$I$3</c:f>
              <c:strCache>
                <c:ptCount val="8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</c:strCache>
            </c:strRef>
          </c:cat>
          <c:val>
            <c:numRef>
              <c:f>'Master P&amp;L'!$B$60:$I$60</c:f>
              <c:numCache>
                <c:formatCode>0.00%</c:formatCode>
                <c:ptCount val="8"/>
                <c:pt idx="0">
                  <c:v>0.48599999999999999</c:v>
                </c:pt>
                <c:pt idx="1">
                  <c:v>0.504</c:v>
                </c:pt>
                <c:pt idx="2">
                  <c:v>0.51600000000000001</c:v>
                </c:pt>
                <c:pt idx="3">
                  <c:v>0.52</c:v>
                </c:pt>
                <c:pt idx="4">
                  <c:v>0.49700000000000005</c:v>
                </c:pt>
                <c:pt idx="5">
                  <c:v>0.505</c:v>
                </c:pt>
                <c:pt idx="6">
                  <c:v>0.47299999999999998</c:v>
                </c:pt>
                <c:pt idx="7">
                  <c:v>0.47499999999999998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2-4FCB-B13C-F64E323C88CD}"/>
            </c:ext>
          </c:extLst>
        </c:ser>
        <c:ser>
          <c:idx val="1"/>
          <c:order val="1"/>
          <c:tx>
            <c:v>Operating Margin 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'Master P&amp;L'!$B$3:$I$3</c:f>
              <c:strCache>
                <c:ptCount val="8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</c:strCache>
            </c:strRef>
          </c:cat>
          <c:val>
            <c:numRef>
              <c:f>'Master P&amp;L'!$B$61:$I$61</c:f>
              <c:numCache>
                <c:formatCode>0.00%</c:formatCode>
                <c:ptCount val="8"/>
                <c:pt idx="0">
                  <c:v>7.5999999999999998E-2</c:v>
                </c:pt>
                <c:pt idx="1">
                  <c:v>9.4E-2</c:v>
                </c:pt>
                <c:pt idx="2">
                  <c:v>0.10800000000000001</c:v>
                </c:pt>
                <c:pt idx="3">
                  <c:v>0.111</c:v>
                </c:pt>
                <c:pt idx="4">
                  <c:v>0.04</c:v>
                </c:pt>
                <c:pt idx="5">
                  <c:v>8.6999999999999994E-2</c:v>
                </c:pt>
                <c:pt idx="6">
                  <c:v>1.7000000000000001E-2</c:v>
                </c:pt>
                <c:pt idx="7">
                  <c:v>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2-4FCB-B13C-F64E323C88CD}"/>
            </c:ext>
          </c:extLst>
        </c:ser>
        <c:ser>
          <c:idx val="2"/>
          <c:order val="2"/>
          <c:tx>
            <c:v>Net Margin 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'Master P&amp;L'!$B$3:$I$3</c:f>
              <c:strCache>
                <c:ptCount val="8"/>
                <c:pt idx="0">
                  <c:v>FY2016</c:v>
                </c:pt>
                <c:pt idx="1">
                  <c:v>FY2017</c:v>
                </c:pt>
                <c:pt idx="2">
                  <c:v>FY2018</c:v>
                </c:pt>
                <c:pt idx="3">
                  <c:v>FY2019</c:v>
                </c:pt>
                <c:pt idx="4">
                  <c:v>FY2020</c:v>
                </c:pt>
                <c:pt idx="5">
                  <c:v>FY2021</c:v>
                </c:pt>
                <c:pt idx="6">
                  <c:v>FY2022</c:v>
                </c:pt>
                <c:pt idx="7">
                  <c:v>FY2023</c:v>
                </c:pt>
              </c:strCache>
            </c:strRef>
          </c:cat>
          <c:val>
            <c:numRef>
              <c:f>'Master P&amp;L'!$B$62:$I$62</c:f>
              <c:numCache>
                <c:formatCode>0.00%</c:formatCode>
                <c:ptCount val="8"/>
                <c:pt idx="0">
                  <c:v>5.1344478710166098E-2</c:v>
                </c:pt>
                <c:pt idx="1">
                  <c:v>6.4709209162032238E-2</c:v>
                </c:pt>
                <c:pt idx="2">
                  <c:v>7.7116130504220851E-2</c:v>
                </c:pt>
                <c:pt idx="3">
                  <c:v>7.8468697123519462E-2</c:v>
                </c:pt>
                <c:pt idx="4">
                  <c:v>1.7486393872203184E-2</c:v>
                </c:pt>
                <c:pt idx="5">
                  <c:v>6.8145427145144585E-2</c:v>
                </c:pt>
                <c:pt idx="6">
                  <c:v>2.221136333348141E-3</c:v>
                </c:pt>
                <c:pt idx="7">
                  <c:v>-1.5401129416157185E-3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E2-4FCB-B13C-F64E323C8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528176"/>
        <c:axId val="317425744"/>
      </c:lineChart>
      <c:catAx>
        <c:axId val="41552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25744"/>
        <c:crosses val="autoZero"/>
        <c:auto val="1"/>
        <c:lblAlgn val="ctr"/>
        <c:lblOffset val="100"/>
        <c:noMultiLvlLbl val="0"/>
      </c:catAx>
      <c:valAx>
        <c:axId val="31742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5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Operating Expenses  % of Sales — Stacked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334617144014771E-2"/>
          <c:y val="0.10542635658914729"/>
          <c:w val="0.89599535761979043"/>
          <c:h val="0.822641030336324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'[1]OPEX DETAIL'!$A$15</c:f>
              <c:strCache>
                <c:ptCount val="1"/>
                <c:pt idx="0">
                  <c:v>Marketing and point-of-sale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'[1]OPEX DETAIL'!$C$4:$J$4</c:f>
              <c:strCache>
                <c:ptCount val="8"/>
                <c:pt idx="0">
                  <c:v>FY 2016</c:v>
                </c:pt>
                <c:pt idx="1">
                  <c:v>FY 2017</c:v>
                </c:pt>
                <c:pt idx="2">
                  <c:v>FY 2018</c:v>
                </c:pt>
                <c:pt idx="3">
                  <c:v>FY 2019</c:v>
                </c:pt>
                <c:pt idx="4">
                  <c:v>FY 2020</c:v>
                </c:pt>
                <c:pt idx="5">
                  <c:v>FY 2021</c:v>
                </c:pt>
                <c:pt idx="6">
                  <c:v>FY 2022</c:v>
                </c:pt>
                <c:pt idx="7">
                  <c:v>FY 2023</c:v>
                </c:pt>
              </c:strCache>
            </c:strRef>
          </c:cat>
          <c:val>
            <c:numRef>
              <c:f>'[1]OPEX DETAIL'!$C$15:$J$15</c:f>
              <c:numCache>
                <c:formatCode>General</c:formatCode>
                <c:ptCount val="8"/>
                <c:pt idx="0">
                  <c:v>0.13700000000000001</c:v>
                </c:pt>
                <c:pt idx="1">
                  <c:v>0.13400000000000001</c:v>
                </c:pt>
                <c:pt idx="2">
                  <c:v>0.13100000000000001</c:v>
                </c:pt>
                <c:pt idx="3">
                  <c:v>0.128</c:v>
                </c:pt>
                <c:pt idx="4">
                  <c:v>0.11899999999999999</c:v>
                </c:pt>
                <c:pt idx="5">
                  <c:v>0.121</c:v>
                </c:pt>
                <c:pt idx="6">
                  <c:v>0.124</c:v>
                </c:pt>
                <c:pt idx="7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3-41DF-8D1C-410C75CF5028}"/>
            </c:ext>
          </c:extLst>
        </c:ser>
        <c:ser>
          <c:idx val="1"/>
          <c:order val="1"/>
          <c:tx>
            <c:strRef>
              <c:f>'[1]OPEX DETAIL'!$A$16</c:f>
              <c:strCache>
                <c:ptCount val="1"/>
                <c:pt idx="0">
                  <c:v>Distribution and selling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'[1]OPEX DETAIL'!$C$4:$J$4</c:f>
              <c:strCache>
                <c:ptCount val="8"/>
                <c:pt idx="0">
                  <c:v>FY 2016</c:v>
                </c:pt>
                <c:pt idx="1">
                  <c:v>FY 2017</c:v>
                </c:pt>
                <c:pt idx="2">
                  <c:v>FY 2018</c:v>
                </c:pt>
                <c:pt idx="3">
                  <c:v>FY 2019</c:v>
                </c:pt>
                <c:pt idx="4">
                  <c:v>FY 2020</c:v>
                </c:pt>
                <c:pt idx="5">
                  <c:v>FY 2021</c:v>
                </c:pt>
                <c:pt idx="6">
                  <c:v>FY 2022</c:v>
                </c:pt>
                <c:pt idx="7">
                  <c:v>FY 2023</c:v>
                </c:pt>
              </c:strCache>
            </c:strRef>
          </c:cat>
          <c:val>
            <c:numRef>
              <c:f>'[1]OPEX DETAIL'!$C$16:$J$16</c:f>
              <c:numCache>
                <c:formatCode>General</c:formatCode>
                <c:ptCount val="8"/>
                <c:pt idx="0">
                  <c:v>0.218</c:v>
                </c:pt>
                <c:pt idx="1">
                  <c:v>0.222</c:v>
                </c:pt>
                <c:pt idx="2">
                  <c:v>0.224</c:v>
                </c:pt>
                <c:pt idx="3">
                  <c:v>0.223</c:v>
                </c:pt>
                <c:pt idx="4">
                  <c:v>0.27</c:v>
                </c:pt>
                <c:pt idx="5">
                  <c:v>0.23400000000000001</c:v>
                </c:pt>
                <c:pt idx="6">
                  <c:v>0.24299999999999999</c:v>
                </c:pt>
                <c:pt idx="7">
                  <c:v>0.25800000000000001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3-41DF-8D1C-410C75CF5028}"/>
            </c:ext>
          </c:extLst>
        </c:ser>
        <c:ser>
          <c:idx val="2"/>
          <c:order val="2"/>
          <c:tx>
            <c:strRef>
              <c:f>'[1]OPEX DETAIL'!$A$17</c:f>
              <c:strCache>
                <c:ptCount val="1"/>
                <c:pt idx="0">
                  <c:v>General and administration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'[1]OPEX DETAIL'!$C$4:$J$4</c:f>
              <c:strCache>
                <c:ptCount val="8"/>
                <c:pt idx="0">
                  <c:v>FY 2016</c:v>
                </c:pt>
                <c:pt idx="1">
                  <c:v>FY 2017</c:v>
                </c:pt>
                <c:pt idx="2">
                  <c:v>FY 2018</c:v>
                </c:pt>
                <c:pt idx="3">
                  <c:v>FY 2019</c:v>
                </c:pt>
                <c:pt idx="4">
                  <c:v>FY 2020</c:v>
                </c:pt>
                <c:pt idx="5">
                  <c:v>FY 2021</c:v>
                </c:pt>
                <c:pt idx="6">
                  <c:v>FY 2022</c:v>
                </c:pt>
                <c:pt idx="7">
                  <c:v>FY 2023</c:v>
                </c:pt>
              </c:strCache>
            </c:strRef>
          </c:cat>
          <c:val>
            <c:numRef>
              <c:f>'[1]OPEX DETAIL'!$C$17:$J$17</c:f>
              <c:numCache>
                <c:formatCode>General</c:formatCode>
                <c:ptCount val="8"/>
                <c:pt idx="0">
                  <c:v>5.3999999999999999E-2</c:v>
                </c:pt>
                <c:pt idx="1">
                  <c:v>5.2999999999999999E-2</c:v>
                </c:pt>
                <c:pt idx="2">
                  <c:v>5.1999999999999998E-2</c:v>
                </c:pt>
                <c:pt idx="3">
                  <c:v>5.7000000000000002E-2</c:v>
                </c:pt>
                <c:pt idx="4">
                  <c:v>6.5000000000000002E-2</c:v>
                </c:pt>
                <c:pt idx="5">
                  <c:v>6.0999999999999999E-2</c:v>
                </c:pt>
                <c:pt idx="6">
                  <c:v>7.8E-2</c:v>
                </c:pt>
                <c:pt idx="7">
                  <c:v>7.2999999999999995E-2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A3-41DF-8D1C-410C75CF5028}"/>
            </c:ext>
          </c:extLst>
        </c:ser>
        <c:ser>
          <c:idx val="3"/>
          <c:order val="3"/>
          <c:tx>
            <c:strRef>
              <c:f>'[1]OPEX DETAIL'!$A$18</c:f>
              <c:strCache>
                <c:ptCount val="1"/>
                <c:pt idx="0">
                  <c:v>Sundry expenses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'[1]OPEX DETAIL'!$C$4:$J$4</c:f>
              <c:strCache>
                <c:ptCount val="8"/>
                <c:pt idx="0">
                  <c:v>FY 2016</c:v>
                </c:pt>
                <c:pt idx="1">
                  <c:v>FY 2017</c:v>
                </c:pt>
                <c:pt idx="2">
                  <c:v>FY 2018</c:v>
                </c:pt>
                <c:pt idx="3">
                  <c:v>FY 2019</c:v>
                </c:pt>
                <c:pt idx="4">
                  <c:v>FY 2020</c:v>
                </c:pt>
                <c:pt idx="5">
                  <c:v>FY 2021</c:v>
                </c:pt>
                <c:pt idx="6">
                  <c:v>FY 2022</c:v>
                </c:pt>
                <c:pt idx="7">
                  <c:v>FY 2023</c:v>
                </c:pt>
              </c:strCache>
            </c:strRef>
          </c:cat>
          <c:val>
            <c:numRef>
              <c:f>'[1]OPEX DETAIL'!$C$18:$J$18</c:f>
              <c:numCache>
                <c:formatCode>General</c:formatCode>
                <c:ptCount val="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A3-41DF-8D1C-410C75CF5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6838960"/>
        <c:axId val="945269040"/>
      </c:barChart>
      <c:catAx>
        <c:axId val="94683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69040"/>
        <c:crosses val="autoZero"/>
        <c:auto val="1"/>
        <c:lblAlgn val="ctr"/>
        <c:lblOffset val="100"/>
        <c:noMultiLvlLbl val="0"/>
      </c:catAx>
      <c:valAx>
        <c:axId val="9452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3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FY2023 Revenue by Region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'Comparable Regional View'!$A$4:$A$9</c:f>
              <c:strCache>
                <c:ptCount val="6"/>
                <c:pt idx="0">
                  <c:v>EMEA</c:v>
                </c:pt>
                <c:pt idx="1">
                  <c:v>North America</c:v>
                </c:pt>
                <c:pt idx="2">
                  <c:v>Greater China</c:v>
                </c:pt>
                <c:pt idx="3">
                  <c:v>Asia-Pacific</c:v>
                </c:pt>
                <c:pt idx="4">
                  <c:v>Latin America</c:v>
                </c:pt>
                <c:pt idx="5">
                  <c:v>Other Businesses</c:v>
                </c:pt>
              </c:strCache>
            </c:strRef>
          </c:cat>
          <c:val>
            <c:numRef>
              <c:f>'Comparable Regional View'!$I$4:$I$9</c:f>
              <c:numCache>
                <c:formatCode>0</c:formatCode>
                <c:ptCount val="6"/>
                <c:pt idx="0">
                  <c:v>7585</c:v>
                </c:pt>
                <c:pt idx="1">
                  <c:v>5142</c:v>
                </c:pt>
                <c:pt idx="2">
                  <c:v>3257</c:v>
                </c:pt>
                <c:pt idx="3" formatCode="General">
                  <c:v>2807</c:v>
                </c:pt>
                <c:pt idx="4">
                  <c:v>2057</c:v>
                </c:pt>
                <c:pt idx="5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D-4AD0-9814-02D20AE0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545056"/>
        <c:axId val="945370800"/>
      </c:barChart>
      <c:catAx>
        <c:axId val="99754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70800"/>
        <c:crosses val="autoZero"/>
        <c:auto val="1"/>
        <c:lblAlgn val="ctr"/>
        <c:lblOffset val="100"/>
        <c:noMultiLvlLbl val="0"/>
      </c:catAx>
      <c:valAx>
        <c:axId val="94537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4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640768</xdr:colOff>
      <xdr:row>4</xdr:row>
      <xdr:rowOff>14936</xdr:rowOff>
    </xdr:from>
    <xdr:to>
      <xdr:col>23</xdr:col>
      <xdr:colOff>631029</xdr:colOff>
      <xdr:row>28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AB636A-CFF4-0503-E726-ED8F4E78B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641742</xdr:colOff>
      <xdr:row>4</xdr:row>
      <xdr:rowOff>15476</xdr:rowOff>
    </xdr:from>
    <xdr:to>
      <xdr:col>35</xdr:col>
      <xdr:colOff>23810</xdr:colOff>
      <xdr:row>27</xdr:row>
      <xdr:rowOff>166685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0D28B-2816-A8CD-2BF6-01A093E03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6492</xdr:colOff>
      <xdr:row>32</xdr:row>
      <xdr:rowOff>11906</xdr:rowOff>
    </xdr:from>
    <xdr:to>
      <xdr:col>24</xdr:col>
      <xdr:colOff>23810</xdr:colOff>
      <xdr:row>54</xdr:row>
      <xdr:rowOff>178593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654FD7-2158-4F62-BD29-B0136A8AD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11906</xdr:colOff>
      <xdr:row>32</xdr:row>
      <xdr:rowOff>5413</xdr:rowOff>
    </xdr:from>
    <xdr:to>
      <xdr:col>35</xdr:col>
      <xdr:colOff>23811</xdr:colOff>
      <xdr:row>54</xdr:row>
      <xdr:rowOff>178593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7A936F-6FB8-4CE7-ACF0-923788A8A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/raw/ADS_GY_Equity_Bloomberg_Extract_SYNTHETIC.xlsx" TargetMode="External"/><Relationship Id="rId2" Type="http://schemas.openxmlformats.org/officeDocument/2006/relationships/externalLinkPath" Target="file:///C:\Users\HP\Desktop\DA\Innovexis%20Projects\Bloomberg%20P&amp;L%20Data%20Extraction\data\raw\ADS_GY_Equity_Bloomberg_Extract_SYNTHETIC.xlsx" TargetMode="External"/><Relationship Id="rId1" Type="http://schemas.openxmlformats.org/officeDocument/2006/relationships/externalLinkPath" Target="/Users/HP/Desktop/DA/Innovexis%20Projects/Bloomberg%20P&amp;L%20Data%20Extraction/data/raw/ADS_GY_Equity_Bloomberg_Extract_SYNTHE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DS GY Equity"/>
      <sheetName val="REV BY SEGMENT"/>
      <sheetName val="REV BY GEO"/>
      <sheetName val="OPEX DETAIL"/>
      <sheetName val="LOOKUP TABLES"/>
      <sheetName val="README"/>
    </sheetNames>
    <sheetDataSet>
      <sheetData sheetId="0" refreshError="1"/>
      <sheetData sheetId="1" refreshError="1"/>
      <sheetData sheetId="2" refreshError="1"/>
      <sheetData sheetId="3">
        <row r="4">
          <cell r="C4" t="str">
            <v>FY 2016</v>
          </cell>
          <cell r="D4" t="str">
            <v>FY 2017</v>
          </cell>
          <cell r="E4" t="str">
            <v>FY 2018</v>
          </cell>
          <cell r="F4" t="str">
            <v>FY 2019</v>
          </cell>
          <cell r="G4" t="str">
            <v>FY 2020</v>
          </cell>
          <cell r="H4" t="str">
            <v>FY 2021</v>
          </cell>
          <cell r="I4" t="str">
            <v>FY 2022</v>
          </cell>
          <cell r="J4" t="str">
            <v>FY 2023</v>
          </cell>
        </row>
        <row r="15">
          <cell r="A15" t="str">
            <v>Marketing and point-of-sale</v>
          </cell>
          <cell r="C15">
            <v>0.13700000000000001</v>
          </cell>
          <cell r="D15">
            <v>0.13400000000000001</v>
          </cell>
          <cell r="E15">
            <v>0.13100000000000001</v>
          </cell>
          <cell r="F15">
            <v>0.128</v>
          </cell>
          <cell r="G15">
            <v>0.11899999999999999</v>
          </cell>
          <cell r="H15">
            <v>0.121</v>
          </cell>
          <cell r="I15">
            <v>0.124</v>
          </cell>
          <cell r="J15">
            <v>0.123</v>
          </cell>
        </row>
        <row r="16">
          <cell r="A16" t="str">
            <v>Distribution and selling</v>
          </cell>
          <cell r="C16">
            <v>0.218</v>
          </cell>
          <cell r="D16">
            <v>0.222</v>
          </cell>
          <cell r="E16">
            <v>0.224</v>
          </cell>
          <cell r="F16">
            <v>0.223</v>
          </cell>
          <cell r="G16">
            <v>0.27</v>
          </cell>
          <cell r="H16">
            <v>0.23400000000000001</v>
          </cell>
          <cell r="I16">
            <v>0.24299999999999999</v>
          </cell>
          <cell r="J16">
            <v>0.25800000000000001</v>
          </cell>
        </row>
        <row r="17">
          <cell r="A17" t="str">
            <v>General and administration</v>
          </cell>
          <cell r="C17">
            <v>5.3999999999999999E-2</v>
          </cell>
          <cell r="D17">
            <v>5.2999999999999999E-2</v>
          </cell>
          <cell r="E17">
            <v>5.1999999999999998E-2</v>
          </cell>
          <cell r="F17">
            <v>5.7000000000000002E-2</v>
          </cell>
          <cell r="G17">
            <v>6.5000000000000002E-2</v>
          </cell>
          <cell r="H17">
            <v>6.0999999999999999E-2</v>
          </cell>
          <cell r="I17">
            <v>7.8E-2</v>
          </cell>
          <cell r="J17">
            <v>7.2999999999999995E-2</v>
          </cell>
        </row>
        <row r="18">
          <cell r="A18" t="str">
            <v>Sundry expenses</v>
          </cell>
          <cell r="C18">
            <v>0.01</v>
          </cell>
          <cell r="D18">
            <v>0.01</v>
          </cell>
          <cell r="E18">
            <v>0.01</v>
          </cell>
          <cell r="F18">
            <v>0.01</v>
          </cell>
          <cell r="G18">
            <v>0.01</v>
          </cell>
          <cell r="H18">
            <v>0.01</v>
          </cell>
          <cell r="I18">
            <v>0.01</v>
          </cell>
          <cell r="J18">
            <v>1.2E-2</v>
          </cell>
        </row>
      </sheetData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6C64AF-3E4B-4771-A14E-36C2128DC451}" autoFormatId="16" applyNumberFormats="0" applyBorderFormats="0" applyFontFormats="0" applyPatternFormats="0" applyAlignmentFormats="0" applyWidthHeightFormats="0">
  <queryTableRefresh nextId="4">
    <queryTableFields count="3">
      <queryTableField id="1" name="Line Item" tableColumnId="1"/>
      <queryTableField id="2" name="Fiscal Year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690A1A-707A-4932-BD2D-715359BD2117}" name="Bloomberg_PL_Cleaned__2" displayName="Bloomberg_PL_Cleaned__2" ref="A1:C250" tableType="queryTable" totalsRowShown="0">
  <autoFilter ref="A1:C250" xr:uid="{2A690A1A-707A-4932-BD2D-715359BD2117}"/>
  <tableColumns count="3">
    <tableColumn id="1" xr3:uid="{AA1591F7-D66E-42DD-806B-803B61DF18C2}" uniqueName="1" name="Line Item" queryTableFieldId="1" dataDxfId="1"/>
    <tableColumn id="2" xr3:uid="{C5D23957-CEF0-4842-A671-9E6150BF0130}" uniqueName="2" name="Fiscal Year" queryTableFieldId="2" dataDxfId="0"/>
    <tableColumn id="3" xr3:uid="{0FB5D420-1BC6-4C06-9DB7-89B0DAF5C8F5}" uniqueName="3" name="Valu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7014-1BDC-43BD-820B-0E0B6246FDB3}">
  <dimension ref="A1:J28"/>
  <sheetViews>
    <sheetView zoomScale="70" zoomScaleNormal="70" workbookViewId="0">
      <selection activeCell="D8" sqref="D8"/>
    </sheetView>
  </sheetViews>
  <sheetFormatPr defaultRowHeight="14.25" x14ac:dyDescent="0.45"/>
  <cols>
    <col min="1" max="1" width="80.59765625" customWidth="1"/>
    <col min="2" max="2" width="10.265625" customWidth="1"/>
    <col min="3" max="10" width="12" customWidth="1"/>
  </cols>
  <sheetData>
    <row r="1" spans="1:10" x14ac:dyDescent="0.45">
      <c r="A1" s="1" t="s">
        <v>115</v>
      </c>
    </row>
    <row r="2" spans="1:10" x14ac:dyDescent="0.45">
      <c r="A2" s="6" t="s">
        <v>116</v>
      </c>
    </row>
    <row r="4" spans="1:10" x14ac:dyDescent="0.45">
      <c r="A4" s="1" t="s">
        <v>68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117</v>
      </c>
      <c r="H4" s="2" t="s">
        <v>118</v>
      </c>
      <c r="I4" s="2" t="s">
        <v>119</v>
      </c>
      <c r="J4" s="2" t="s">
        <v>120</v>
      </c>
    </row>
    <row r="6" spans="1:10" x14ac:dyDescent="0.45">
      <c r="A6" s="1" t="s">
        <v>78</v>
      </c>
    </row>
    <row r="7" spans="1:10" x14ac:dyDescent="0.45">
      <c r="A7" s="3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121</v>
      </c>
      <c r="H7" s="4" t="s">
        <v>121</v>
      </c>
      <c r="I7" s="4" t="s">
        <v>121</v>
      </c>
      <c r="J7" s="4" t="s">
        <v>121</v>
      </c>
    </row>
    <row r="8" spans="1:10" x14ac:dyDescent="0.45">
      <c r="A8" s="3" t="s">
        <v>70</v>
      </c>
      <c r="C8" s="4" t="s">
        <v>84</v>
      </c>
      <c r="D8" s="4" t="s">
        <v>85</v>
      </c>
      <c r="E8" s="4" t="s">
        <v>86</v>
      </c>
      <c r="F8" s="4" t="s">
        <v>87</v>
      </c>
      <c r="G8" s="4" t="s">
        <v>121</v>
      </c>
      <c r="H8" s="4" t="s">
        <v>121</v>
      </c>
      <c r="I8" s="4" t="s">
        <v>121</v>
      </c>
      <c r="J8" s="4" t="s">
        <v>121</v>
      </c>
    </row>
    <row r="9" spans="1:10" x14ac:dyDescent="0.45">
      <c r="A9" s="3" t="s">
        <v>88</v>
      </c>
      <c r="C9" s="4" t="s">
        <v>89</v>
      </c>
      <c r="D9" s="4" t="s">
        <v>90</v>
      </c>
      <c r="E9" s="4" t="s">
        <v>91</v>
      </c>
      <c r="F9" s="4" t="s">
        <v>92</v>
      </c>
      <c r="G9" s="4" t="s">
        <v>121</v>
      </c>
      <c r="H9" s="4" t="s">
        <v>121</v>
      </c>
      <c r="I9" s="4" t="s">
        <v>121</v>
      </c>
      <c r="J9" s="4" t="s">
        <v>121</v>
      </c>
    </row>
    <row r="10" spans="1:10" x14ac:dyDescent="0.45">
      <c r="A10" s="3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121</v>
      </c>
      <c r="H10" s="4" t="s">
        <v>121</v>
      </c>
      <c r="I10" s="4" t="s">
        <v>121</v>
      </c>
      <c r="J10" s="4" t="s">
        <v>121</v>
      </c>
    </row>
    <row r="11" spans="1:10" x14ac:dyDescent="0.45">
      <c r="A11" s="3" t="s">
        <v>73</v>
      </c>
      <c r="C11" s="4" t="s">
        <v>98</v>
      </c>
      <c r="D11" s="4" t="s">
        <v>99</v>
      </c>
      <c r="E11" s="4" t="s">
        <v>100</v>
      </c>
      <c r="F11" s="4" t="s">
        <v>101</v>
      </c>
      <c r="G11" s="4" t="s">
        <v>121</v>
      </c>
      <c r="H11" s="4" t="s">
        <v>121</v>
      </c>
      <c r="I11" s="4" t="s">
        <v>121</v>
      </c>
      <c r="J11" s="4" t="s">
        <v>121</v>
      </c>
    </row>
    <row r="12" spans="1:10" x14ac:dyDescent="0.45">
      <c r="A12" s="3" t="s">
        <v>102</v>
      </c>
      <c r="C12" s="4" t="s">
        <v>103</v>
      </c>
      <c r="D12" s="4" t="s">
        <v>104</v>
      </c>
      <c r="E12" s="4" t="s">
        <v>105</v>
      </c>
      <c r="F12" s="4" t="s">
        <v>106</v>
      </c>
      <c r="G12" s="4" t="s">
        <v>121</v>
      </c>
      <c r="H12" s="4" t="s">
        <v>121</v>
      </c>
      <c r="I12" s="4" t="s">
        <v>121</v>
      </c>
      <c r="J12" s="4" t="s">
        <v>121</v>
      </c>
    </row>
    <row r="13" spans="1:10" x14ac:dyDescent="0.45">
      <c r="A13" s="3" t="s">
        <v>107</v>
      </c>
      <c r="C13" s="4" t="s">
        <v>108</v>
      </c>
      <c r="D13" s="4" t="s">
        <v>109</v>
      </c>
      <c r="E13" s="4" t="s">
        <v>110</v>
      </c>
      <c r="F13" s="4" t="s">
        <v>101</v>
      </c>
      <c r="G13" s="4" t="s">
        <v>121</v>
      </c>
      <c r="H13" s="4" t="s">
        <v>121</v>
      </c>
      <c r="I13" s="4" t="s">
        <v>121</v>
      </c>
      <c r="J13" s="4" t="s">
        <v>121</v>
      </c>
    </row>
    <row r="14" spans="1:10" x14ac:dyDescent="0.45">
      <c r="A14" s="3" t="s">
        <v>37</v>
      </c>
      <c r="C14" s="4" t="s">
        <v>111</v>
      </c>
      <c r="D14" s="4" t="s">
        <v>112</v>
      </c>
      <c r="E14" s="4" t="s">
        <v>113</v>
      </c>
      <c r="F14" s="4" t="s">
        <v>114</v>
      </c>
      <c r="G14" s="4" t="s">
        <v>121</v>
      </c>
      <c r="H14" s="4" t="s">
        <v>121</v>
      </c>
      <c r="I14" s="4" t="s">
        <v>121</v>
      </c>
      <c r="J14" s="4" t="s">
        <v>121</v>
      </c>
    </row>
    <row r="16" spans="1:10" x14ac:dyDescent="0.45">
      <c r="A16" s="1" t="s">
        <v>122</v>
      </c>
    </row>
    <row r="17" spans="1:10" x14ac:dyDescent="0.45">
      <c r="A17" s="3" t="s">
        <v>69</v>
      </c>
      <c r="C17" s="4" t="s">
        <v>121</v>
      </c>
      <c r="D17" s="4" t="s">
        <v>121</v>
      </c>
      <c r="E17" s="4" t="s">
        <v>121</v>
      </c>
      <c r="F17" s="4" t="s">
        <v>121</v>
      </c>
      <c r="G17" s="10" t="s">
        <v>123</v>
      </c>
      <c r="H17" s="10" t="s">
        <v>124</v>
      </c>
      <c r="I17" s="10" t="s">
        <v>125</v>
      </c>
      <c r="J17" s="10" t="s">
        <v>126</v>
      </c>
    </row>
    <row r="18" spans="1:10" x14ac:dyDescent="0.45">
      <c r="A18" s="3" t="s">
        <v>70</v>
      </c>
      <c r="C18" s="4" t="s">
        <v>121</v>
      </c>
      <c r="D18" s="4" t="s">
        <v>121</v>
      </c>
      <c r="E18" s="4" t="s">
        <v>121</v>
      </c>
      <c r="F18" s="4" t="s">
        <v>121</v>
      </c>
      <c r="G18" s="4" t="s">
        <v>127</v>
      </c>
      <c r="H18" s="4" t="s">
        <v>128</v>
      </c>
      <c r="I18" s="4" t="s">
        <v>129</v>
      </c>
      <c r="J18" s="4" t="s">
        <v>130</v>
      </c>
    </row>
    <row r="19" spans="1:10" x14ac:dyDescent="0.45">
      <c r="A19" s="3" t="s">
        <v>71</v>
      </c>
      <c r="C19" s="4" t="s">
        <v>121</v>
      </c>
      <c r="D19" s="4" t="s">
        <v>121</v>
      </c>
      <c r="E19" s="4" t="s">
        <v>121</v>
      </c>
      <c r="F19" s="4" t="s">
        <v>121</v>
      </c>
      <c r="G19" s="4" t="s">
        <v>131</v>
      </c>
      <c r="H19" s="4" t="s">
        <v>132</v>
      </c>
      <c r="I19" s="4" t="s">
        <v>133</v>
      </c>
      <c r="J19" s="4" t="s">
        <v>134</v>
      </c>
    </row>
    <row r="20" spans="1:10" x14ac:dyDescent="0.45">
      <c r="A20" s="3" t="s">
        <v>72</v>
      </c>
      <c r="C20" s="4" t="s">
        <v>121</v>
      </c>
      <c r="D20" s="4" t="s">
        <v>121</v>
      </c>
      <c r="E20" s="4" t="s">
        <v>121</v>
      </c>
      <c r="F20" s="4" t="s">
        <v>121</v>
      </c>
      <c r="G20" s="4" t="s">
        <v>135</v>
      </c>
      <c r="H20" s="4" t="s">
        <v>136</v>
      </c>
      <c r="I20" s="4" t="s">
        <v>137</v>
      </c>
      <c r="J20" s="4" t="s">
        <v>138</v>
      </c>
    </row>
    <row r="21" spans="1:10" x14ac:dyDescent="0.45">
      <c r="A21" s="3" t="s">
        <v>73</v>
      </c>
      <c r="C21" s="4" t="s">
        <v>121</v>
      </c>
      <c r="D21" s="4" t="s">
        <v>121</v>
      </c>
      <c r="E21" s="4" t="s">
        <v>121</v>
      </c>
      <c r="F21" s="4" t="s">
        <v>121</v>
      </c>
      <c r="G21" s="4" t="s">
        <v>139</v>
      </c>
      <c r="H21" s="4" t="s">
        <v>140</v>
      </c>
      <c r="I21" s="4" t="s">
        <v>141</v>
      </c>
      <c r="J21" s="4" t="s">
        <v>142</v>
      </c>
    </row>
    <row r="22" spans="1:10" x14ac:dyDescent="0.45">
      <c r="A22" s="3" t="s">
        <v>37</v>
      </c>
      <c r="C22" s="4" t="s">
        <v>121</v>
      </c>
      <c r="D22" s="4" t="s">
        <v>121</v>
      </c>
      <c r="E22" s="4" t="s">
        <v>121</v>
      </c>
      <c r="F22" s="4" t="s">
        <v>121</v>
      </c>
      <c r="G22" s="4" t="s">
        <v>143</v>
      </c>
      <c r="H22" s="4" t="s">
        <v>144</v>
      </c>
      <c r="I22" s="4" t="s">
        <v>145</v>
      </c>
      <c r="J22" s="4" t="s">
        <v>146</v>
      </c>
    </row>
    <row r="24" spans="1:10" x14ac:dyDescent="0.45">
      <c r="A24" s="1" t="s">
        <v>147</v>
      </c>
      <c r="C24" s="2" t="s">
        <v>148</v>
      </c>
      <c r="D24" s="2" t="s">
        <v>149</v>
      </c>
      <c r="E24" s="2" t="s">
        <v>150</v>
      </c>
      <c r="F24" s="2" t="s">
        <v>151</v>
      </c>
      <c r="G24" s="2" t="s">
        <v>152</v>
      </c>
      <c r="H24" s="2" t="s">
        <v>153</v>
      </c>
      <c r="I24" s="2" t="s">
        <v>154</v>
      </c>
      <c r="J24" s="2" t="s">
        <v>155</v>
      </c>
    </row>
    <row r="27" spans="1:10" x14ac:dyDescent="0.45">
      <c r="A27" s="7" t="s">
        <v>156</v>
      </c>
    </row>
    <row r="28" spans="1:10" x14ac:dyDescent="0.45">
      <c r="A28" s="7" t="s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6408-87FA-4E45-AC20-4B8BA1C61EF5}">
  <sheetPr>
    <pageSetUpPr fitToPage="1"/>
  </sheetPr>
  <dimension ref="A1:K120"/>
  <sheetViews>
    <sheetView zoomScale="40" zoomScaleNormal="40" workbookViewId="0">
      <pane xSplit="1" ySplit="3" topLeftCell="J4" activePane="bottomRight" state="frozen"/>
      <selection pane="topRight" activeCell="B1" sqref="B1"/>
      <selection pane="bottomLeft" activeCell="A4" sqref="A4"/>
      <selection pane="bottomRight" activeCell="AL46" sqref="AL46"/>
    </sheetView>
  </sheetViews>
  <sheetFormatPr defaultRowHeight="14.25" x14ac:dyDescent="0.45"/>
  <cols>
    <col min="1" max="1" width="73.53125" customWidth="1"/>
    <col min="2" max="2" width="41.9296875" customWidth="1"/>
    <col min="3" max="3" width="18.1328125" customWidth="1"/>
    <col min="4" max="4" width="14.46484375" customWidth="1"/>
    <col min="5" max="5" width="15.796875" customWidth="1"/>
    <col min="6" max="6" width="15.9296875" customWidth="1"/>
    <col min="7" max="7" width="15.53125" customWidth="1"/>
    <col min="8" max="8" width="15.1328125" customWidth="1"/>
    <col min="9" max="9" width="15.19921875" customWidth="1"/>
    <col min="10" max="10" width="20.1328125" customWidth="1"/>
    <col min="11" max="11" width="15.46484375" customWidth="1"/>
  </cols>
  <sheetData>
    <row r="1" spans="1:11" ht="21.4" x14ac:dyDescent="0.8">
      <c r="A1" s="17" t="s">
        <v>221</v>
      </c>
      <c r="B1" s="17"/>
      <c r="C1" s="17"/>
      <c r="D1" s="17"/>
      <c r="E1" s="17"/>
      <c r="F1" s="17"/>
      <c r="G1" s="17"/>
      <c r="H1" s="17"/>
      <c r="I1" s="17"/>
      <c r="J1" s="18"/>
      <c r="K1" s="18"/>
    </row>
    <row r="2" spans="1:11" ht="21.4" x14ac:dyDescent="0.8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8"/>
      <c r="K2" s="18"/>
    </row>
    <row r="3" spans="1:11" ht="21.4" x14ac:dyDescent="0.8">
      <c r="A3" s="16" t="s">
        <v>53</v>
      </c>
      <c r="B3" s="16" t="s">
        <v>54</v>
      </c>
      <c r="C3" s="16" t="s">
        <v>55</v>
      </c>
      <c r="D3" s="16" t="s">
        <v>56</v>
      </c>
      <c r="E3" s="16" t="s">
        <v>57</v>
      </c>
      <c r="F3" s="16" t="s">
        <v>58</v>
      </c>
      <c r="G3" s="16" t="s">
        <v>59</v>
      </c>
      <c r="H3" s="16" t="s">
        <v>60</v>
      </c>
      <c r="I3" s="16" t="s">
        <v>61</v>
      </c>
      <c r="J3" s="16" t="s">
        <v>158</v>
      </c>
      <c r="K3" s="16" t="s">
        <v>159</v>
      </c>
    </row>
    <row r="4" spans="1:11" x14ac:dyDescent="0.45">
      <c r="A4" s="15" t="str">
        <f>Lookup!A2</f>
        <v>Basic EPS</v>
      </c>
      <c r="B4" s="8">
        <f>IFERROR(SUMIFS('Cleaned Data'!$C:$C,'Cleaned Data'!$A:$A,_xlfn.XLOOKUP($A4,Lookup!$A:$A,Lookup!$D:$D),'Cleaned Data'!$B:$B,B$3),"")</f>
        <v>4.72</v>
      </c>
      <c r="C4" s="8">
        <f>IFERROR(SUMIFS('Cleaned Data'!$C:$C,'Cleaned Data'!$A:$A,_xlfn.XLOOKUP($A4,Lookup!$A:$A,Lookup!$D:$D),'Cleaned Data'!$B:$B,C$3),"")</f>
        <v>6.78</v>
      </c>
      <c r="D4" s="8">
        <f>IFERROR(SUMIFS('Cleaned Data'!$C:$C,'Cleaned Data'!$A:$A,_xlfn.XLOOKUP($A4,Lookup!$A:$A,Lookup!$D:$D),'Cleaned Data'!$B:$B,D$3),"")</f>
        <v>8.4499999999999993</v>
      </c>
      <c r="E4" s="8">
        <f>IFERROR(SUMIFS('Cleaned Data'!$C:$C,'Cleaned Data'!$A:$A,_xlfn.XLOOKUP($A4,Lookup!$A:$A,Lookup!$D:$D),'Cleaned Data'!$B:$B,E$3),"")</f>
        <v>9.48</v>
      </c>
      <c r="F4" s="8">
        <f>IFERROR(SUMIFS('Cleaned Data'!$C:$C,'Cleaned Data'!$A:$A,_xlfn.XLOOKUP($A4,Lookup!$A:$A,Lookup!$D:$D),'Cleaned Data'!$B:$B,F$3),"")</f>
        <v>1.79</v>
      </c>
      <c r="G4" s="8">
        <f>IFERROR(SUMIFS('Cleaned Data'!$C:$C,'Cleaned Data'!$A:$A,_xlfn.XLOOKUP($A4,Lookup!$A:$A,Lookup!$D:$D),'Cleaned Data'!$B:$B,G$3),"")</f>
        <v>7.39</v>
      </c>
      <c r="H4" s="8">
        <f>IFERROR(SUMIFS('Cleaned Data'!$C:$C,'Cleaned Data'!$A:$A,_xlfn.XLOOKUP($A4,Lookup!$A:$A,Lookup!$D:$D),'Cleaned Data'!$B:$B,H$3),"")</f>
        <v>0.27</v>
      </c>
      <c r="I4">
        <f>IFERROR(SUMIFS('Cleaned Data'!$C:$C,'Cleaned Data'!$A:$A,_xlfn.XLOOKUP($A4,Lookup!$A:$A,Lookup!$D:$D),'Cleaned Data'!$B:$B,I$3),"")</f>
        <v>-0.18</v>
      </c>
      <c r="J4" t="str">
        <f>_xlfn.XLOOKUP($A4,Lookup!$A:$A,Lookup!$B:$B,"")</f>
        <v>EPS / Per Share</v>
      </c>
      <c r="K4" t="str">
        <f>_xlfn.XLOOKUP($A4,Lookup!$A:$A,Lookup!$C:$C,"")</f>
        <v>Per Share</v>
      </c>
    </row>
    <row r="5" spans="1:11" x14ac:dyDescent="0.45">
      <c r="A5" s="15" t="str">
        <f>Lookup!A3</f>
        <v>Cost of Goods Sold</v>
      </c>
      <c r="B5" s="21">
        <f>IFERROR(SUMIFS('Cleaned Data'!$C:$C,'Cleaned Data'!$A:$A,_xlfn.XLOOKUP($A5,Lookup!$A:$A,Lookup!$D:$D),'Cleaned Data'!$B:$B,B$3),"")</f>
        <v>-9500</v>
      </c>
      <c r="C5" s="21">
        <f>IFERROR(SUMIFS('Cleaned Data'!$C:$C,'Cleaned Data'!$A:$A,_xlfn.XLOOKUP($A5,Lookup!$A:$A,Lookup!$D:$D),'Cleaned Data'!$B:$B,C$3),"")</f>
        <v>-10524</v>
      </c>
      <c r="D5" s="21">
        <f>IFERROR(SUMIFS('Cleaned Data'!$C:$C,'Cleaned Data'!$A:$A,_xlfn.XLOOKUP($A5,Lookup!$A:$A,Lookup!$D:$D),'Cleaned Data'!$B:$B,D$3),"")</f>
        <v>-10607</v>
      </c>
      <c r="E5" s="21">
        <f>IFERROR(SUMIFS('Cleaned Data'!$C:$C,'Cleaned Data'!$A:$A,_xlfn.XLOOKUP($A5,Lookup!$A:$A,Lookup!$D:$D),'Cleaned Data'!$B:$B,E$3),"")</f>
        <v>-11347</v>
      </c>
      <c r="F5" s="21">
        <f>IFERROR(SUMIFS('Cleaned Data'!$C:$C,'Cleaned Data'!$A:$A,_xlfn.XLOOKUP($A5,Lookup!$A:$A,Lookup!$D:$D),'Cleaned Data'!$B:$B,F$3),"")</f>
        <v>-9982</v>
      </c>
      <c r="G5" s="21">
        <f>IFERROR(SUMIFS('Cleaned Data'!$C:$C,'Cleaned Data'!$A:$A,_xlfn.XLOOKUP($A5,Lookup!$A:$A,Lookup!$D:$D),'Cleaned Data'!$B:$B,G$3),"")</f>
        <v>-10511</v>
      </c>
      <c r="H5" s="21">
        <f>IFERROR(SUMIFS('Cleaned Data'!$C:$C,'Cleaned Data'!$A:$A,_xlfn.XLOOKUP($A5,Lookup!$A:$A,Lookup!$D:$D),'Cleaned Data'!$B:$B,H$3),"")</f>
        <v>-11863</v>
      </c>
      <c r="I5">
        <f>IFERROR(SUMIFS('Cleaned Data'!$C:$C,'Cleaned Data'!$A:$A,_xlfn.XLOOKUP($A5,Lookup!$A:$A,Lookup!$D:$D),'Cleaned Data'!$B:$B,I$3),"")</f>
        <v>-11249</v>
      </c>
      <c r="J5" t="str">
        <f>_xlfn.XLOOKUP($A5,Lookup!$A:$A,Lookup!$B:$B,"")</f>
        <v>COGS</v>
      </c>
      <c r="K5" t="str">
        <f>_xlfn.XLOOKUP($A5,Lookup!$A:$A,Lookup!$C:$C,"")</f>
        <v>Negative</v>
      </c>
    </row>
    <row r="6" spans="1:11" x14ac:dyDescent="0.45">
      <c r="A6" s="15" t="str">
        <f>Lookup!A4</f>
        <v>Diluted EPS</v>
      </c>
      <c r="B6" s="8">
        <f>IFERROR(SUMIFS('Cleaned Data'!$C:$C,'Cleaned Data'!$A:$A,_xlfn.XLOOKUP($A6,Lookup!$A:$A,Lookup!$D:$D),'Cleaned Data'!$B:$B,B$3),"")</f>
        <v>4.7</v>
      </c>
      <c r="C6" s="8">
        <f>IFERROR(SUMIFS('Cleaned Data'!$C:$C,'Cleaned Data'!$A:$A,_xlfn.XLOOKUP($A6,Lookup!$A:$A,Lookup!$D:$D),'Cleaned Data'!$B:$B,C$3),"")</f>
        <v>6.75</v>
      </c>
      <c r="D6" s="8">
        <f>IFERROR(SUMIFS('Cleaned Data'!$C:$C,'Cleaned Data'!$A:$A,_xlfn.XLOOKUP($A6,Lookup!$A:$A,Lookup!$D:$D),'Cleaned Data'!$B:$B,D$3),"")</f>
        <v>8.42</v>
      </c>
      <c r="E6" s="8">
        <f>IFERROR(SUMIFS('Cleaned Data'!$C:$C,'Cleaned Data'!$A:$A,_xlfn.XLOOKUP($A6,Lookup!$A:$A,Lookup!$D:$D),'Cleaned Data'!$B:$B,E$3),"")</f>
        <v>9.44</v>
      </c>
      <c r="F6" s="8">
        <f>IFERROR(SUMIFS('Cleaned Data'!$C:$C,'Cleaned Data'!$A:$A,_xlfn.XLOOKUP($A6,Lookup!$A:$A,Lookup!$D:$D),'Cleaned Data'!$B:$B,F$3),"")</f>
        <v>1.78</v>
      </c>
      <c r="G6" s="8">
        <f>IFERROR(SUMIFS('Cleaned Data'!$C:$C,'Cleaned Data'!$A:$A,_xlfn.XLOOKUP($A6,Lookup!$A:$A,Lookup!$D:$D),'Cleaned Data'!$B:$B,G$3),"")</f>
        <v>7.36</v>
      </c>
      <c r="H6" s="8">
        <f>IFERROR(SUMIFS('Cleaned Data'!$C:$C,'Cleaned Data'!$A:$A,_xlfn.XLOOKUP($A6,Lookup!$A:$A,Lookup!$D:$D),'Cleaned Data'!$B:$B,H$3),"")</f>
        <v>0.27</v>
      </c>
      <c r="I6">
        <f>IFERROR(SUMIFS('Cleaned Data'!$C:$C,'Cleaned Data'!$A:$A,_xlfn.XLOOKUP($A6,Lookup!$A:$A,Lookup!$D:$D),'Cleaned Data'!$B:$B,I$3),"")</f>
        <v>-0.18</v>
      </c>
      <c r="J6" t="str">
        <f>_xlfn.XLOOKUP($A6,Lookup!$A:$A,Lookup!$B:$B,"")</f>
        <v>EPS / Per Share</v>
      </c>
      <c r="K6" t="str">
        <f>_xlfn.XLOOKUP($A6,Lookup!$A:$A,Lookup!$C:$C,"")</f>
        <v>Per Share</v>
      </c>
    </row>
    <row r="7" spans="1:11" x14ac:dyDescent="0.45">
      <c r="A7" s="15" t="str">
        <f>Lookup!A5</f>
        <v>Distribution and Selling Expense</v>
      </c>
      <c r="B7" s="21">
        <f>IFERROR(SUMIFS('Cleaned Data'!$C:$C,'Cleaned Data'!$A:$A,_xlfn.XLOOKUP($A7,Lookup!$A:$A,Lookup!$D:$D),'Cleaned Data'!$B:$B,B$3),"")</f>
        <v>-4029</v>
      </c>
      <c r="C7" s="21">
        <f>IFERROR(SUMIFS('Cleaned Data'!$C:$C,'Cleaned Data'!$A:$A,_xlfn.XLOOKUP($A7,Lookup!$A:$A,Lookup!$D:$D),'Cleaned Data'!$B:$B,C$3),"")</f>
        <v>-4710</v>
      </c>
      <c r="D7" s="21">
        <f>IFERROR(SUMIFS('Cleaned Data'!$C:$C,'Cleaned Data'!$A:$A,_xlfn.XLOOKUP($A7,Lookup!$A:$A,Lookup!$D:$D),'Cleaned Data'!$B:$B,D$3),"")</f>
        <v>-4909</v>
      </c>
      <c r="E7" s="21">
        <f>IFERROR(SUMIFS('Cleaned Data'!$C:$C,'Cleaned Data'!$A:$A,_xlfn.XLOOKUP($A7,Lookup!$A:$A,Lookup!$D:$D),'Cleaned Data'!$B:$B,E$3),"")</f>
        <v>-5272</v>
      </c>
      <c r="F7" s="21">
        <f>IFERROR(SUMIFS('Cleaned Data'!$C:$C,'Cleaned Data'!$A:$A,_xlfn.XLOOKUP($A7,Lookup!$A:$A,Lookup!$D:$D),'Cleaned Data'!$B:$B,F$3),"")</f>
        <v>-5358</v>
      </c>
      <c r="G7" s="21">
        <f>IFERROR(SUMIFS('Cleaned Data'!$C:$C,'Cleaned Data'!$A:$A,_xlfn.XLOOKUP($A7,Lookup!$A:$A,Lookup!$D:$D),'Cleaned Data'!$B:$B,G$3),"")</f>
        <v>-4969</v>
      </c>
      <c r="H7" s="21">
        <f>IFERROR(SUMIFS('Cleaned Data'!$C:$C,'Cleaned Data'!$A:$A,_xlfn.XLOOKUP($A7,Lookup!$A:$A,Lookup!$D:$D),'Cleaned Data'!$B:$B,H$3),"")</f>
        <v>-5470</v>
      </c>
      <c r="I7">
        <f>IFERROR(SUMIFS('Cleaned Data'!$C:$C,'Cleaned Data'!$A:$A,_xlfn.XLOOKUP($A7,Lookup!$A:$A,Lookup!$D:$D),'Cleaned Data'!$B:$B,I$3),"")</f>
        <v>-5528</v>
      </c>
      <c r="J7" t="str">
        <f>_xlfn.XLOOKUP($A7,Lookup!$A:$A,Lookup!$B:$B,"")</f>
        <v>Operating Expenses</v>
      </c>
      <c r="K7" t="str">
        <f>_xlfn.XLOOKUP($A7,Lookup!$A:$A,Lookup!$C:$C,"")</f>
        <v>Negative</v>
      </c>
    </row>
    <row r="8" spans="1:11" x14ac:dyDescent="0.45">
      <c r="A8" s="15" t="str">
        <f>Lookup!A6</f>
        <v>Dividend Per Share (DPS)</v>
      </c>
      <c r="B8" s="8">
        <f>IFERROR(SUMIFS('Cleaned Data'!$C:$C,'Cleaned Data'!$A:$A,_xlfn.XLOOKUP($A8,Lookup!$A:$A,Lookup!$D:$D),'Cleaned Data'!$B:$B,B$3),"")</f>
        <v>2</v>
      </c>
      <c r="C8" s="8">
        <f>IFERROR(SUMIFS('Cleaned Data'!$C:$C,'Cleaned Data'!$A:$A,_xlfn.XLOOKUP($A8,Lookup!$A:$A,Lookup!$D:$D),'Cleaned Data'!$B:$B,C$3),"")</f>
        <v>2.6</v>
      </c>
      <c r="D8" s="8">
        <f>IFERROR(SUMIFS('Cleaned Data'!$C:$C,'Cleaned Data'!$A:$A,_xlfn.XLOOKUP($A8,Lookup!$A:$A,Lookup!$D:$D),'Cleaned Data'!$B:$B,D$3),"")</f>
        <v>3.35</v>
      </c>
      <c r="E8" s="8">
        <f>IFERROR(SUMIFS('Cleaned Data'!$C:$C,'Cleaned Data'!$A:$A,_xlfn.XLOOKUP($A8,Lookup!$A:$A,Lookup!$D:$D),'Cleaned Data'!$B:$B,E$3),"")</f>
        <v>3.85</v>
      </c>
      <c r="F8" s="8">
        <f>IFERROR(SUMIFS('Cleaned Data'!$C:$C,'Cleaned Data'!$A:$A,_xlfn.XLOOKUP($A8,Lookup!$A:$A,Lookup!$D:$D),'Cleaned Data'!$B:$B,F$3),"")</f>
        <v>0</v>
      </c>
      <c r="G8" s="8">
        <f>IFERROR(SUMIFS('Cleaned Data'!$C:$C,'Cleaned Data'!$A:$A,_xlfn.XLOOKUP($A8,Lookup!$A:$A,Lookup!$D:$D),'Cleaned Data'!$B:$B,G$3),"")</f>
        <v>3.3</v>
      </c>
      <c r="H8" s="8">
        <f>IFERROR(SUMIFS('Cleaned Data'!$C:$C,'Cleaned Data'!$A:$A,_xlfn.XLOOKUP($A8,Lookup!$A:$A,Lookup!$D:$D),'Cleaned Data'!$B:$B,H$3),"")</f>
        <v>0.7</v>
      </c>
      <c r="I8" s="8">
        <f>IFERROR(SUMIFS('Cleaned Data'!$C:$C,'Cleaned Data'!$A:$A,_xlfn.XLOOKUP($A8,Lookup!$A:$A,Lookup!$D:$D),'Cleaned Data'!$B:$B,I$3),"")</f>
        <v>0.7</v>
      </c>
      <c r="J8" t="str">
        <f>_xlfn.XLOOKUP($A8,Lookup!$A:$A,Lookup!$B:$B,"")</f>
        <v>EPS / Per Share</v>
      </c>
      <c r="K8" t="str">
        <f>_xlfn.XLOOKUP($A8,Lookup!$A:$A,Lookup!$C:$C,"")</f>
        <v>Per Share</v>
      </c>
    </row>
    <row r="9" spans="1:11" x14ac:dyDescent="0.45">
      <c r="A9" s="15" t="str">
        <f>Lookup!A7</f>
        <v>Effective Tax Rate %</v>
      </c>
      <c r="B9" s="22">
        <f>IFERROR(SUMIFS('Cleaned Data'!$C:$C,'Cleaned Data'!$A:$A,_xlfn.XLOOKUP($A9,Lookup!$A:$A,Lookup!$D:$D),'Cleaned Data'!$B:$B,B$3),"")</f>
        <v>0.28999999999999998</v>
      </c>
      <c r="C9" s="22">
        <f>IFERROR(SUMIFS('Cleaned Data'!$C:$C,'Cleaned Data'!$A:$A,_xlfn.XLOOKUP($A9,Lookup!$A:$A,Lookup!$D:$D),'Cleaned Data'!$B:$B,C$3),"")</f>
        <v>0.28000000000000003</v>
      </c>
      <c r="D9" s="22">
        <f>IFERROR(SUMIFS('Cleaned Data'!$C:$C,'Cleaned Data'!$A:$A,_xlfn.XLOOKUP($A9,Lookup!$A:$A,Lookup!$D:$D),'Cleaned Data'!$B:$B,D$3),"")</f>
        <v>0.26</v>
      </c>
      <c r="E9" s="22">
        <f>IFERROR(SUMIFS('Cleaned Data'!$C:$C,'Cleaned Data'!$A:$A,_xlfn.XLOOKUP($A9,Lookup!$A:$A,Lookup!$D:$D),'Cleaned Data'!$B:$B,E$3),"")</f>
        <v>0.25</v>
      </c>
      <c r="F9" s="22">
        <f>IFERROR(SUMIFS('Cleaned Data'!$C:$C,'Cleaned Data'!$A:$A,_xlfn.XLOOKUP($A9,Lookup!$A:$A,Lookup!$D:$D),'Cleaned Data'!$B:$B,F$3),"")</f>
        <v>0.35</v>
      </c>
      <c r="G9" s="22">
        <f>IFERROR(SUMIFS('Cleaned Data'!$C:$C,'Cleaned Data'!$A:$A,_xlfn.XLOOKUP($A9,Lookup!$A:$A,Lookup!$D:$D),'Cleaned Data'!$B:$B,G$3),"")</f>
        <v>0.28000000000000003</v>
      </c>
      <c r="H9" s="22">
        <f>IFERROR(SUMIFS('Cleaned Data'!$C:$C,'Cleaned Data'!$A:$A,_xlfn.XLOOKUP($A9,Lookup!$A:$A,Lookup!$D:$D),'Cleaned Data'!$B:$B,H$3),"")</f>
        <v>0.75</v>
      </c>
      <c r="I9" s="22">
        <f>IFERROR(SUMIFS('Cleaned Data'!$C:$C,'Cleaned Data'!$A:$A,_xlfn.XLOOKUP($A9,Lookup!$A:$A,Lookup!$D:$D),'Cleaned Data'!$B:$B,I$3),"")</f>
        <v>1.149</v>
      </c>
      <c r="J9" t="str">
        <f>_xlfn.XLOOKUP($A9,Lookup!$A:$A,Lookup!$B:$B,"")</f>
        <v>Below EBIT</v>
      </c>
      <c r="K9" t="str">
        <f>_xlfn.XLOOKUP($A9,Lookup!$A:$A,Lookup!$C:$C,"")</f>
        <v>Percentage</v>
      </c>
    </row>
    <row r="10" spans="1:11" x14ac:dyDescent="0.45">
      <c r="A10" s="15" t="str">
        <f>Lookup!A8</f>
        <v>Financial Expenses</v>
      </c>
      <c r="B10" s="21">
        <f>IFERROR(SUMIFS('Cleaned Data'!$C:$C,'Cleaned Data'!$A:$A,_xlfn.XLOOKUP($A10,Lookup!$A:$A,Lookup!$D:$D),'Cleaned Data'!$B:$B,B$3),"")</f>
        <v>-74</v>
      </c>
      <c r="C10" s="21">
        <f>IFERROR(SUMIFS('Cleaned Data'!$C:$C,'Cleaned Data'!$A:$A,_xlfn.XLOOKUP($A10,Lookup!$A:$A,Lookup!$D:$D),'Cleaned Data'!$B:$B,C$3),"")</f>
        <v>-82</v>
      </c>
      <c r="D10" s="21">
        <f>IFERROR(SUMIFS('Cleaned Data'!$C:$C,'Cleaned Data'!$A:$A,_xlfn.XLOOKUP($A10,Lookup!$A:$A,Lookup!$D:$D),'Cleaned Data'!$B:$B,D$3),"")</f>
        <v>-91</v>
      </c>
      <c r="E10" s="21">
        <f>IFERROR(SUMIFS('Cleaned Data'!$C:$C,'Cleaned Data'!$A:$A,_xlfn.XLOOKUP($A10,Lookup!$A:$A,Lookup!$D:$D),'Cleaned Data'!$B:$B,E$3),"")</f>
        <v>-166</v>
      </c>
      <c r="F10" s="21">
        <f>IFERROR(SUMIFS('Cleaned Data'!$C:$C,'Cleaned Data'!$A:$A,_xlfn.XLOOKUP($A10,Lookup!$A:$A,Lookup!$D:$D),'Cleaned Data'!$B:$B,F$3),"")</f>
        <v>-178</v>
      </c>
      <c r="G10" s="21">
        <f>IFERROR(SUMIFS('Cleaned Data'!$C:$C,'Cleaned Data'!$A:$A,_xlfn.XLOOKUP($A10,Lookup!$A:$A,Lookup!$D:$D),'Cleaned Data'!$B:$B,G$3),"")</f>
        <v>-172</v>
      </c>
      <c r="H10" s="21">
        <f>IFERROR(SUMIFS('Cleaned Data'!$C:$C,'Cleaned Data'!$A:$A,_xlfn.XLOOKUP($A10,Lookup!$A:$A,Lookup!$D:$D),'Cleaned Data'!$B:$B,H$3),"")</f>
        <v>-199</v>
      </c>
      <c r="I10">
        <f>IFERROR(SUMIFS('Cleaned Data'!$C:$C,'Cleaned Data'!$A:$A,_xlfn.XLOOKUP($A10,Lookup!$A:$A,Lookup!$D:$D),'Cleaned Data'!$B:$B,I$3),"")</f>
        <v>-242</v>
      </c>
      <c r="J10" t="str">
        <f>_xlfn.XLOOKUP($A10,Lookup!$A:$A,Lookup!$B:$B,"")</f>
        <v>Below EBIT</v>
      </c>
      <c r="K10" t="str">
        <f>_xlfn.XLOOKUP($A10,Lookup!$A:$A,Lookup!$C:$C,"")</f>
        <v>Negative</v>
      </c>
    </row>
    <row r="11" spans="1:11" x14ac:dyDescent="0.45">
      <c r="A11" s="15" t="str">
        <f>Lookup!A9</f>
        <v>Financial Income</v>
      </c>
      <c r="B11" s="21">
        <f>IFERROR(SUMIFS('Cleaned Data'!$C:$C,'Cleaned Data'!$A:$A,_xlfn.XLOOKUP($A11,Lookup!$A:$A,Lookup!$D:$D),'Cleaned Data'!$B:$B,B$3),"")</f>
        <v>20</v>
      </c>
      <c r="C11" s="21">
        <f>IFERROR(SUMIFS('Cleaned Data'!$C:$C,'Cleaned Data'!$A:$A,_xlfn.XLOOKUP($A11,Lookup!$A:$A,Lookup!$D:$D),'Cleaned Data'!$B:$B,C$3),"")</f>
        <v>24</v>
      </c>
      <c r="D11" s="21">
        <f>IFERROR(SUMIFS('Cleaned Data'!$C:$C,'Cleaned Data'!$A:$A,_xlfn.XLOOKUP($A11,Lookup!$A:$A,Lookup!$D:$D),'Cleaned Data'!$B:$B,D$3),"")</f>
        <v>28</v>
      </c>
      <c r="E11" s="21">
        <f>IFERROR(SUMIFS('Cleaned Data'!$C:$C,'Cleaned Data'!$A:$A,_xlfn.XLOOKUP($A11,Lookup!$A:$A,Lookup!$D:$D),'Cleaned Data'!$B:$B,E$3),"")</f>
        <v>32</v>
      </c>
      <c r="F11" s="21">
        <f>IFERROR(SUMIFS('Cleaned Data'!$C:$C,'Cleaned Data'!$A:$A,_xlfn.XLOOKUP($A11,Lookup!$A:$A,Lookup!$D:$D),'Cleaned Data'!$B:$B,F$3),"")</f>
        <v>26</v>
      </c>
      <c r="G11" s="21">
        <f>IFERROR(SUMIFS('Cleaned Data'!$C:$C,'Cleaned Data'!$A:$A,_xlfn.XLOOKUP($A11,Lookup!$A:$A,Lookup!$D:$D),'Cleaned Data'!$B:$B,G$3),"")</f>
        <v>30</v>
      </c>
      <c r="H11" s="21">
        <f>IFERROR(SUMIFS('Cleaned Data'!$C:$C,'Cleaned Data'!$A:$A,_xlfn.XLOOKUP($A11,Lookup!$A:$A,Lookup!$D:$D),'Cleaned Data'!$B:$B,H$3),"")</f>
        <v>44</v>
      </c>
      <c r="I11">
        <f>IFERROR(SUMIFS('Cleaned Data'!$C:$C,'Cleaned Data'!$A:$A,_xlfn.XLOOKUP($A11,Lookup!$A:$A,Lookup!$D:$D),'Cleaned Data'!$B:$B,I$3),"")</f>
        <v>62</v>
      </c>
      <c r="J11" t="str">
        <f>_xlfn.XLOOKUP($A11,Lookup!$A:$A,Lookup!$B:$B,"")</f>
        <v>Below EBIT</v>
      </c>
      <c r="K11" t="str">
        <f>_xlfn.XLOOKUP($A11,Lookup!$A:$A,Lookup!$C:$C,"")</f>
        <v>Positive</v>
      </c>
    </row>
    <row r="12" spans="1:11" x14ac:dyDescent="0.45">
      <c r="A12" s="15" t="str">
        <f>Lookup!A10</f>
        <v>GROSS PROFIT</v>
      </c>
      <c r="B12" s="21">
        <f>IFERROR(SUMIFS('Cleaned Data'!$C:$C,'Cleaned Data'!$A:$A,_xlfn.XLOOKUP($A12,Lookup!$A:$A,Lookup!$D:$D),'Cleaned Data'!$B:$B,B$3),"")</f>
        <v>8983</v>
      </c>
      <c r="C12" s="21">
        <f>IFERROR(SUMIFS('Cleaned Data'!$C:$C,'Cleaned Data'!$A:$A,_xlfn.XLOOKUP($A12,Lookup!$A:$A,Lookup!$D:$D),'Cleaned Data'!$B:$B,C$3),"")</f>
        <v>10694</v>
      </c>
      <c r="D12" s="21">
        <f>IFERROR(SUMIFS('Cleaned Data'!$C:$C,'Cleaned Data'!$A:$A,_xlfn.XLOOKUP($A12,Lookup!$A:$A,Lookup!$D:$D),'Cleaned Data'!$B:$B,D$3),"")</f>
        <v>11308</v>
      </c>
      <c r="E12" s="21">
        <f>IFERROR(SUMIFS('Cleaned Data'!$C:$C,'Cleaned Data'!$A:$A,_xlfn.XLOOKUP($A12,Lookup!$A:$A,Lookup!$D:$D),'Cleaned Data'!$B:$B,E$3),"")</f>
        <v>12293</v>
      </c>
      <c r="F12" s="21">
        <f>IFERROR(SUMIFS('Cleaned Data'!$C:$C,'Cleaned Data'!$A:$A,_xlfn.XLOOKUP($A12,Lookup!$A:$A,Lookup!$D:$D),'Cleaned Data'!$B:$B,F$3),"")</f>
        <v>9862</v>
      </c>
      <c r="G12" s="21">
        <f>IFERROR(SUMIFS('Cleaned Data'!$C:$C,'Cleaned Data'!$A:$A,_xlfn.XLOOKUP($A12,Lookup!$A:$A,Lookup!$D:$D),'Cleaned Data'!$B:$B,G$3),"")</f>
        <v>10723</v>
      </c>
      <c r="H12" s="21">
        <f>IFERROR(SUMIFS('Cleaned Data'!$C:$C,'Cleaned Data'!$A:$A,_xlfn.XLOOKUP($A12,Lookup!$A:$A,Lookup!$D:$D),'Cleaned Data'!$B:$B,H$3),"")</f>
        <v>10648</v>
      </c>
      <c r="I12">
        <f>IFERROR(SUMIFS('Cleaned Data'!$C:$C,'Cleaned Data'!$A:$A,_xlfn.XLOOKUP($A12,Lookup!$A:$A,Lookup!$D:$D),'Cleaned Data'!$B:$B,I$3),"")</f>
        <v>10178</v>
      </c>
      <c r="J12" t="str">
        <f>_xlfn.XLOOKUP($A12,Lookup!$A:$A,Lookup!$B:$B,"")</f>
        <v>Gross Profit</v>
      </c>
      <c r="K12" t="str">
        <f>_xlfn.XLOOKUP($A12,Lookup!$A:$A,Lookup!$C:$C,"")</f>
        <v>Positive</v>
      </c>
    </row>
    <row r="13" spans="1:11" x14ac:dyDescent="0.45">
      <c r="A13" s="15" t="str">
        <f>Lookup!A11</f>
        <v>General &amp; Administration</v>
      </c>
      <c r="B13" s="21">
        <f>IFERROR(SUMIFS('Cleaned Data'!$C:$C,'Cleaned Data'!$A:$A,_xlfn.XLOOKUP($A13,Lookup!$A:$A,Lookup!$D:$D),'Cleaned Data'!$B:$B,B$3),"")</f>
        <v>-998</v>
      </c>
      <c r="C13" s="21">
        <f>IFERROR(SUMIFS('Cleaned Data'!$C:$C,'Cleaned Data'!$A:$A,_xlfn.XLOOKUP($A13,Lookup!$A:$A,Lookup!$D:$D),'Cleaned Data'!$B:$B,C$3),"")</f>
        <v>-1125</v>
      </c>
      <c r="D13" s="21">
        <f>IFERROR(SUMIFS('Cleaned Data'!$C:$C,'Cleaned Data'!$A:$A,_xlfn.XLOOKUP($A13,Lookup!$A:$A,Lookup!$D:$D),'Cleaned Data'!$B:$B,D$3),"")</f>
        <v>-1140</v>
      </c>
      <c r="E13" s="21">
        <f>IFERROR(SUMIFS('Cleaned Data'!$C:$C,'Cleaned Data'!$A:$A,_xlfn.XLOOKUP($A13,Lookup!$A:$A,Lookup!$D:$D),'Cleaned Data'!$B:$B,E$3),"")</f>
        <v>-1347</v>
      </c>
      <c r="F13" s="21">
        <f>IFERROR(SUMIFS('Cleaned Data'!$C:$C,'Cleaned Data'!$A:$A,_xlfn.XLOOKUP($A13,Lookup!$A:$A,Lookup!$D:$D),'Cleaned Data'!$B:$B,F$3),"")</f>
        <v>-1290</v>
      </c>
      <c r="G13" s="21">
        <f>IFERROR(SUMIFS('Cleaned Data'!$C:$C,'Cleaned Data'!$A:$A,_xlfn.XLOOKUP($A13,Lookup!$A:$A,Lookup!$D:$D),'Cleaned Data'!$B:$B,G$3),"")</f>
        <v>-1295</v>
      </c>
      <c r="H13" s="21">
        <f>IFERROR(SUMIFS('Cleaned Data'!$C:$C,'Cleaned Data'!$A:$A,_xlfn.XLOOKUP($A13,Lookup!$A:$A,Lookup!$D:$D),'Cleaned Data'!$B:$B,H$3),"")</f>
        <v>-1756</v>
      </c>
      <c r="I13">
        <f>IFERROR(SUMIFS('Cleaned Data'!$C:$C,'Cleaned Data'!$A:$A,_xlfn.XLOOKUP($A13,Lookup!$A:$A,Lookup!$D:$D),'Cleaned Data'!$B:$B,I$3),"")</f>
        <v>-1564</v>
      </c>
      <c r="J13" t="str">
        <f>_xlfn.XLOOKUP($A13,Lookup!$A:$A,Lookup!$B:$B,"")</f>
        <v>Operating Expenses</v>
      </c>
      <c r="K13" t="str">
        <f>_xlfn.XLOOKUP($A13,Lookup!$A:$A,Lookup!$C:$C,"")</f>
        <v>Negative</v>
      </c>
    </row>
    <row r="14" spans="1:11" x14ac:dyDescent="0.45">
      <c r="A14" s="15" t="str">
        <f>Lookup!A12</f>
        <v>Goodwill / Intangible Impairment</v>
      </c>
      <c r="B14" s="21">
        <f>IFERROR(SUMIFS('Cleaned Data'!$C:$C,'Cleaned Data'!$A:$A,_xlfn.XLOOKUP($A14,Lookup!$A:$A,Lookup!$D:$D),'Cleaned Data'!$B:$B,B$3),"")</f>
        <v>0</v>
      </c>
      <c r="C14" s="21">
        <f>IFERROR(SUMIFS('Cleaned Data'!$C:$C,'Cleaned Data'!$A:$A,_xlfn.XLOOKUP($A14,Lookup!$A:$A,Lookup!$D:$D),'Cleaned Data'!$B:$B,C$3),"")</f>
        <v>0</v>
      </c>
      <c r="D14" s="21">
        <f>IFERROR(SUMIFS('Cleaned Data'!$C:$C,'Cleaned Data'!$A:$A,_xlfn.XLOOKUP($A14,Lookup!$A:$A,Lookup!$D:$D),'Cleaned Data'!$B:$B,D$3),"")</f>
        <v>0</v>
      </c>
      <c r="E14" s="21">
        <f>IFERROR(SUMIFS('Cleaned Data'!$C:$C,'Cleaned Data'!$A:$A,_xlfn.XLOOKUP($A14,Lookup!$A:$A,Lookup!$D:$D),'Cleaned Data'!$B:$B,E$3),"")</f>
        <v>0</v>
      </c>
      <c r="F14" s="21">
        <f>IFERROR(SUMIFS('Cleaned Data'!$C:$C,'Cleaned Data'!$A:$A,_xlfn.XLOOKUP($A14,Lookup!$A:$A,Lookup!$D:$D),'Cleaned Data'!$B:$B,F$3),"")</f>
        <v>0</v>
      </c>
      <c r="G14" s="21">
        <f>IFERROR(SUMIFS('Cleaned Data'!$C:$C,'Cleaned Data'!$A:$A,_xlfn.XLOOKUP($A14,Lookup!$A:$A,Lookup!$D:$D),'Cleaned Data'!$B:$B,G$3),"")</f>
        <v>0</v>
      </c>
      <c r="H14" s="21">
        <f>IFERROR(SUMIFS('Cleaned Data'!$C:$C,'Cleaned Data'!$A:$A,_xlfn.XLOOKUP($A14,Lookup!$A:$A,Lookup!$D:$D),'Cleaned Data'!$B:$B,H$3),"")</f>
        <v>-194</v>
      </c>
      <c r="I14" s="21">
        <f>IFERROR(SUMIFS('Cleaned Data'!$C:$C,'Cleaned Data'!$A:$A,_xlfn.XLOOKUP($A14,Lookup!$A:$A,Lookup!$D:$D),'Cleaned Data'!$B:$B,I$3),"")</f>
        <v>0</v>
      </c>
      <c r="J14" t="str">
        <f>_xlfn.XLOOKUP($A14,Lookup!$A:$A,Lookup!$B:$B,"")</f>
        <v>Operating Expenses</v>
      </c>
      <c r="K14" t="str">
        <f>_xlfn.XLOOKUP($A14,Lookup!$A:$A,Lookup!$C:$C,"")</f>
        <v>Negative</v>
      </c>
    </row>
    <row r="15" spans="1:11" x14ac:dyDescent="0.45">
      <c r="A15" s="15" t="str">
        <f>Lookup!A13</f>
        <v>Gross Margin %</v>
      </c>
      <c r="B15" s="22">
        <f>IFERROR(SUMIFS('Cleaned Data'!$C:$C,'Cleaned Data'!$A:$A,_xlfn.XLOOKUP($A15,Lookup!$A:$A,Lookup!$D:$D),'Cleaned Data'!$B:$B,B$3),"")</f>
        <v>0.48599999999999999</v>
      </c>
      <c r="C15" s="22">
        <f>IFERROR(SUMIFS('Cleaned Data'!$C:$C,'Cleaned Data'!$A:$A,_xlfn.XLOOKUP($A15,Lookup!$A:$A,Lookup!$D:$D),'Cleaned Data'!$B:$B,C$3),"")</f>
        <v>0.504</v>
      </c>
      <c r="D15" s="22">
        <f>IFERROR(SUMIFS('Cleaned Data'!$C:$C,'Cleaned Data'!$A:$A,_xlfn.XLOOKUP($A15,Lookup!$A:$A,Lookup!$D:$D),'Cleaned Data'!$B:$B,D$3),"")</f>
        <v>0.51600000000000001</v>
      </c>
      <c r="E15" s="22">
        <f>IFERROR(SUMIFS('Cleaned Data'!$C:$C,'Cleaned Data'!$A:$A,_xlfn.XLOOKUP($A15,Lookup!$A:$A,Lookup!$D:$D),'Cleaned Data'!$B:$B,E$3),"")</f>
        <v>0.52</v>
      </c>
      <c r="F15" s="22">
        <f>IFERROR(SUMIFS('Cleaned Data'!$C:$C,'Cleaned Data'!$A:$A,_xlfn.XLOOKUP($A15,Lookup!$A:$A,Lookup!$D:$D),'Cleaned Data'!$B:$B,F$3),"")</f>
        <v>0.49700000000000005</v>
      </c>
      <c r="G15" s="22">
        <f>IFERROR(SUMIFS('Cleaned Data'!$C:$C,'Cleaned Data'!$A:$A,_xlfn.XLOOKUP($A15,Lookup!$A:$A,Lookup!$D:$D),'Cleaned Data'!$B:$B,G$3),"")</f>
        <v>0.505</v>
      </c>
      <c r="H15" s="22">
        <f>IFERROR(SUMIFS('Cleaned Data'!$C:$C,'Cleaned Data'!$A:$A,_xlfn.XLOOKUP($A15,Lookup!$A:$A,Lookup!$D:$D),'Cleaned Data'!$B:$B,H$3),"")</f>
        <v>0.47299999999999998</v>
      </c>
      <c r="I15">
        <f>IFERROR(SUMIFS('Cleaned Data'!$C:$C,'Cleaned Data'!$A:$A,_xlfn.XLOOKUP($A15,Lookup!$A:$A,Lookup!$D:$D),'Cleaned Data'!$B:$B,I$3),"")</f>
        <v>0.47499999999999998</v>
      </c>
      <c r="J15" t="str">
        <f>_xlfn.XLOOKUP($A15,Lookup!$A:$A,Lookup!$B:$B,"")</f>
        <v>Margin</v>
      </c>
      <c r="K15" t="str">
        <f>_xlfn.XLOOKUP($A15,Lookup!$A:$A,Lookup!$C:$C,"")</f>
        <v>Percentage</v>
      </c>
    </row>
    <row r="16" spans="1:11" x14ac:dyDescent="0.45">
      <c r="A16" s="15" t="str">
        <f>Lookup!A14</f>
        <v>Income Before Taxes</v>
      </c>
      <c r="B16" s="21">
        <f>IFERROR(SUMIFS('Cleaned Data'!$C:$C,'Cleaned Data'!$A:$A,_xlfn.XLOOKUP($A16,Lookup!$A:$A,Lookup!$D:$D),'Cleaned Data'!$B:$B,B$3),"")</f>
        <v>1353</v>
      </c>
      <c r="C16" s="21">
        <f>IFERROR(SUMIFS('Cleaned Data'!$C:$C,'Cleaned Data'!$A:$A,_xlfn.XLOOKUP($A16,Lookup!$A:$A,Lookup!$D:$D),'Cleaned Data'!$B:$B,C$3),"")</f>
        <v>1927</v>
      </c>
      <c r="D16" s="21">
        <f>IFERROR(SUMIFS('Cleaned Data'!$C:$C,'Cleaned Data'!$A:$A,_xlfn.XLOOKUP($A16,Lookup!$A:$A,Lookup!$D:$D),'Cleaned Data'!$B:$B,D$3),"")</f>
        <v>2298</v>
      </c>
      <c r="E16" s="21">
        <f>IFERROR(SUMIFS('Cleaned Data'!$C:$C,'Cleaned Data'!$A:$A,_xlfn.XLOOKUP($A16,Lookup!$A:$A,Lookup!$D:$D),'Cleaned Data'!$B:$B,E$3),"")</f>
        <v>2486</v>
      </c>
      <c r="F16" s="21">
        <f>IFERROR(SUMIFS('Cleaned Data'!$C:$C,'Cleaned Data'!$A:$A,_xlfn.XLOOKUP($A16,Lookup!$A:$A,Lookup!$D:$D),'Cleaned Data'!$B:$B,F$3),"")</f>
        <v>651</v>
      </c>
      <c r="G16" s="21">
        <f>IFERROR(SUMIFS('Cleaned Data'!$C:$C,'Cleaned Data'!$A:$A,_xlfn.XLOOKUP($A16,Lookup!$A:$A,Lookup!$D:$D),'Cleaned Data'!$B:$B,G$3),"")</f>
        <v>1698</v>
      </c>
      <c r="H16" s="21">
        <f>IFERROR(SUMIFS('Cleaned Data'!$C:$C,'Cleaned Data'!$A:$A,_xlfn.XLOOKUP($A16,Lookup!$A:$A,Lookup!$D:$D),'Cleaned Data'!$B:$B,H$3),"")</f>
        <v>232</v>
      </c>
      <c r="I16">
        <f>IFERROR(SUMIFS('Cleaned Data'!$C:$C,'Cleaned Data'!$A:$A,_xlfn.XLOOKUP($A16,Lookup!$A:$A,Lookup!$D:$D),'Cleaned Data'!$B:$B,I$3),"")</f>
        <v>175</v>
      </c>
      <c r="J16" t="str">
        <f>_xlfn.XLOOKUP($A16,Lookup!$A:$A,Lookup!$B:$B,"")</f>
        <v>Below EBIT</v>
      </c>
      <c r="K16" t="str">
        <f>_xlfn.XLOOKUP($A16,Lookup!$A:$A,Lookup!$C:$C,"")</f>
        <v>Positive</v>
      </c>
    </row>
    <row r="17" spans="1:11" x14ac:dyDescent="0.45">
      <c r="A17" s="15" t="str">
        <f>Lookup!A15</f>
        <v>Income Tax Expense</v>
      </c>
      <c r="B17" s="21">
        <f>IFERROR(SUMIFS('Cleaned Data'!$C:$C,'Cleaned Data'!$A:$A,_xlfn.XLOOKUP($A17,Lookup!$A:$A,Lookup!$D:$D),'Cleaned Data'!$B:$B,B$3),"")</f>
        <v>-392</v>
      </c>
      <c r="C17" s="21">
        <f>IFERROR(SUMIFS('Cleaned Data'!$C:$C,'Cleaned Data'!$A:$A,_xlfn.XLOOKUP($A17,Lookup!$A:$A,Lookup!$D:$D),'Cleaned Data'!$B:$B,C$3),"")</f>
        <v>-540</v>
      </c>
      <c r="D17" s="21">
        <f>IFERROR(SUMIFS('Cleaned Data'!$C:$C,'Cleaned Data'!$A:$A,_xlfn.XLOOKUP($A17,Lookup!$A:$A,Lookup!$D:$D),'Cleaned Data'!$B:$B,D$3),"")</f>
        <v>-597</v>
      </c>
      <c r="E17" s="21">
        <f>IFERROR(SUMIFS('Cleaned Data'!$C:$C,'Cleaned Data'!$A:$A,_xlfn.XLOOKUP($A17,Lookup!$A:$A,Lookup!$D:$D),'Cleaned Data'!$B:$B,E$3),"")</f>
        <v>-622</v>
      </c>
      <c r="F17" s="21">
        <f>IFERROR(SUMIFS('Cleaned Data'!$C:$C,'Cleaned Data'!$A:$A,_xlfn.XLOOKUP($A17,Lookup!$A:$A,Lookup!$D:$D),'Cleaned Data'!$B:$B,F$3),"")</f>
        <v>-228</v>
      </c>
      <c r="G17" s="21">
        <f>IFERROR(SUMIFS('Cleaned Data'!$C:$C,'Cleaned Data'!$A:$A,_xlfn.XLOOKUP($A17,Lookup!$A:$A,Lookup!$D:$D),'Cleaned Data'!$B:$B,G$3),"")</f>
        <v>-475</v>
      </c>
      <c r="H17" s="21">
        <f>IFERROR(SUMIFS('Cleaned Data'!$C:$C,'Cleaned Data'!$A:$A,_xlfn.XLOOKUP($A17,Lookup!$A:$A,Lookup!$D:$D),'Cleaned Data'!$B:$B,H$3),"")</f>
        <v>-174</v>
      </c>
      <c r="I17">
        <f>IFERROR(SUMIFS('Cleaned Data'!$C:$C,'Cleaned Data'!$A:$A,_xlfn.XLOOKUP($A17,Lookup!$A:$A,Lookup!$D:$D),'Cleaned Data'!$B:$B,I$3),"")</f>
        <v>-201</v>
      </c>
      <c r="J17" t="str">
        <f>_xlfn.XLOOKUP($A17,Lookup!$A:$A,Lookup!$B:$B,"")</f>
        <v>Below EBIT</v>
      </c>
      <c r="K17" t="str">
        <f>_xlfn.XLOOKUP($A17,Lookup!$A:$A,Lookup!$C:$C,"")</f>
        <v>Negative</v>
      </c>
    </row>
    <row r="18" spans="1:11" x14ac:dyDescent="0.45">
      <c r="A18" s="15" t="str">
        <f>Lookup!A16</f>
        <v>Less: Minority Interest</v>
      </c>
      <c r="B18" s="21">
        <f>IFERROR(SUMIFS('Cleaned Data'!$C:$C,'Cleaned Data'!$A:$A,_xlfn.XLOOKUP($A18,Lookup!$A:$A,Lookup!$D:$D),'Cleaned Data'!$B:$B,B$3),"")</f>
        <v>-12</v>
      </c>
      <c r="C18" s="21">
        <f>IFERROR(SUMIFS('Cleaned Data'!$C:$C,'Cleaned Data'!$A:$A,_xlfn.XLOOKUP($A18,Lookup!$A:$A,Lookup!$D:$D),'Cleaned Data'!$B:$B,C$3),"")</f>
        <v>-14</v>
      </c>
      <c r="D18" s="21">
        <f>IFERROR(SUMIFS('Cleaned Data'!$C:$C,'Cleaned Data'!$A:$A,_xlfn.XLOOKUP($A18,Lookup!$A:$A,Lookup!$D:$D),'Cleaned Data'!$B:$B,D$3),"")</f>
        <v>-11</v>
      </c>
      <c r="E18" s="21">
        <f>IFERROR(SUMIFS('Cleaned Data'!$C:$C,'Cleaned Data'!$A:$A,_xlfn.XLOOKUP($A18,Lookup!$A:$A,Lookup!$D:$D),'Cleaned Data'!$B:$B,E$3),"")</f>
        <v>-9</v>
      </c>
      <c r="F18" s="21">
        <f>IFERROR(SUMIFS('Cleaned Data'!$C:$C,'Cleaned Data'!$A:$A,_xlfn.XLOOKUP($A18,Lookup!$A:$A,Lookup!$D:$D),'Cleaned Data'!$B:$B,F$3),"")</f>
        <v>-6</v>
      </c>
      <c r="G18" s="21">
        <f>IFERROR(SUMIFS('Cleaned Data'!$C:$C,'Cleaned Data'!$A:$A,_xlfn.XLOOKUP($A18,Lookup!$A:$A,Lookup!$D:$D),'Cleaned Data'!$B:$B,G$3),"")</f>
        <v>-8</v>
      </c>
      <c r="H18" s="21">
        <f>IFERROR(SUMIFS('Cleaned Data'!$C:$C,'Cleaned Data'!$A:$A,_xlfn.XLOOKUP($A18,Lookup!$A:$A,Lookup!$D:$D),'Cleaned Data'!$B:$B,H$3),"")</f>
        <v>-8</v>
      </c>
      <c r="I18">
        <f>IFERROR(SUMIFS('Cleaned Data'!$C:$C,'Cleaned Data'!$A:$A,_xlfn.XLOOKUP($A18,Lookup!$A:$A,Lookup!$D:$D),'Cleaned Data'!$B:$B,I$3),"")</f>
        <v>-7</v>
      </c>
      <c r="J18" t="str">
        <f>_xlfn.XLOOKUP($A18,Lookup!$A:$A,Lookup!$B:$B,"")</f>
        <v>Below EBIT</v>
      </c>
      <c r="K18" t="str">
        <f>_xlfn.XLOOKUP($A18,Lookup!$A:$A,Lookup!$C:$C,"")</f>
        <v>Negative</v>
      </c>
    </row>
    <row r="19" spans="1:11" x14ac:dyDescent="0.45">
      <c r="A19" s="15" t="str">
        <f>Lookup!A17</f>
        <v>Marketing and Point-of-Sale</v>
      </c>
      <c r="B19" s="21">
        <f>IFERROR(SUMIFS('Cleaned Data'!$C:$C,'Cleaned Data'!$A:$A,_xlfn.XLOOKUP($A19,Lookup!$A:$A,Lookup!$D:$D),'Cleaned Data'!$B:$B,B$3),"")</f>
        <v>-2532</v>
      </c>
      <c r="C19" s="21">
        <f>IFERROR(SUMIFS('Cleaned Data'!$C:$C,'Cleaned Data'!$A:$A,_xlfn.XLOOKUP($A19,Lookup!$A:$A,Lookup!$D:$D),'Cleaned Data'!$B:$B,C$3),"")</f>
        <v>-2843</v>
      </c>
      <c r="D19" s="21">
        <f>IFERROR(SUMIFS('Cleaned Data'!$C:$C,'Cleaned Data'!$A:$A,_xlfn.XLOOKUP($A19,Lookup!$A:$A,Lookup!$D:$D),'Cleaned Data'!$B:$B,D$3),"")</f>
        <v>-2871</v>
      </c>
      <c r="E19" s="21">
        <f>IFERROR(SUMIFS('Cleaned Data'!$C:$C,'Cleaned Data'!$A:$A,_xlfn.XLOOKUP($A19,Lookup!$A:$A,Lookup!$D:$D),'Cleaned Data'!$B:$B,E$3),"")</f>
        <v>-3026</v>
      </c>
      <c r="F19" s="21">
        <f>IFERROR(SUMIFS('Cleaned Data'!$C:$C,'Cleaned Data'!$A:$A,_xlfn.XLOOKUP($A19,Lookup!$A:$A,Lookup!$D:$D),'Cleaned Data'!$B:$B,F$3),"")</f>
        <v>-2361</v>
      </c>
      <c r="G19" s="21">
        <f>IFERROR(SUMIFS('Cleaned Data'!$C:$C,'Cleaned Data'!$A:$A,_xlfn.XLOOKUP($A19,Lookup!$A:$A,Lookup!$D:$D),'Cleaned Data'!$B:$B,G$3),"")</f>
        <v>-2569</v>
      </c>
      <c r="H19" s="21">
        <f>IFERROR(SUMIFS('Cleaned Data'!$C:$C,'Cleaned Data'!$A:$A,_xlfn.XLOOKUP($A19,Lookup!$A:$A,Lookup!$D:$D),'Cleaned Data'!$B:$B,H$3),"")</f>
        <v>-2791</v>
      </c>
      <c r="I19">
        <f>IFERROR(SUMIFS('Cleaned Data'!$C:$C,'Cleaned Data'!$A:$A,_xlfn.XLOOKUP($A19,Lookup!$A:$A,Lookup!$D:$D),'Cleaned Data'!$B:$B,I$3),"")</f>
        <v>-2636</v>
      </c>
      <c r="J19" t="str">
        <f>_xlfn.XLOOKUP($A19,Lookup!$A:$A,Lookup!$B:$B,"")</f>
        <v>Operating Expenses</v>
      </c>
      <c r="K19" t="str">
        <f>_xlfn.XLOOKUP($A19,Lookup!$A:$A,Lookup!$C:$C,"")</f>
        <v>Negative</v>
      </c>
    </row>
    <row r="20" spans="1:11" x14ac:dyDescent="0.45">
      <c r="A20" s="15" t="str">
        <f>Lookup!A18</f>
        <v>NET INCOME ATTRIB. TO SHAREHOLDERS</v>
      </c>
      <c r="B20" s="21">
        <f>IFERROR(SUMIFS('Cleaned Data'!$C:$C,'Cleaned Data'!$A:$A,_xlfn.XLOOKUP($A20,Lookup!$A:$A,Lookup!$D:$D),'Cleaned Data'!$B:$B,B$3),"")</f>
        <v>949</v>
      </c>
      <c r="C20" s="21">
        <f>IFERROR(SUMIFS('Cleaned Data'!$C:$C,'Cleaned Data'!$A:$A,_xlfn.XLOOKUP($A20,Lookup!$A:$A,Lookup!$D:$D),'Cleaned Data'!$B:$B,C$3),"")</f>
        <v>1373</v>
      </c>
      <c r="D20" s="21">
        <f>IFERROR(SUMIFS('Cleaned Data'!$C:$C,'Cleaned Data'!$A:$A,_xlfn.XLOOKUP($A20,Lookup!$A:$A,Lookup!$D:$D),'Cleaned Data'!$B:$B,D$3),"")</f>
        <v>1690</v>
      </c>
      <c r="E20" s="21">
        <f>IFERROR(SUMIFS('Cleaned Data'!$C:$C,'Cleaned Data'!$A:$A,_xlfn.XLOOKUP($A20,Lookup!$A:$A,Lookup!$D:$D),'Cleaned Data'!$B:$B,E$3),"")</f>
        <v>1855</v>
      </c>
      <c r="F20" s="21">
        <f>IFERROR(SUMIFS('Cleaned Data'!$C:$C,'Cleaned Data'!$A:$A,_xlfn.XLOOKUP($A20,Lookup!$A:$A,Lookup!$D:$D),'Cleaned Data'!$B:$B,F$3),"")</f>
        <v>347</v>
      </c>
      <c r="G20" s="21">
        <f>IFERROR(SUMIFS('Cleaned Data'!$C:$C,'Cleaned Data'!$A:$A,_xlfn.XLOOKUP($A20,Lookup!$A:$A,Lookup!$D:$D),'Cleaned Data'!$B:$B,G$3),"")</f>
        <v>1447</v>
      </c>
      <c r="H20" s="21">
        <f>IFERROR(SUMIFS('Cleaned Data'!$C:$C,'Cleaned Data'!$A:$A,_xlfn.XLOOKUP($A20,Lookup!$A:$A,Lookup!$D:$D),'Cleaned Data'!$B:$B,H$3),"")</f>
        <v>50</v>
      </c>
      <c r="I20">
        <f>IFERROR(SUMIFS('Cleaned Data'!$C:$C,'Cleaned Data'!$A:$A,_xlfn.XLOOKUP($A20,Lookup!$A:$A,Lookup!$D:$D),'Cleaned Data'!$B:$B,I$3),"")</f>
        <v>-33</v>
      </c>
      <c r="J20" t="str">
        <f>_xlfn.XLOOKUP($A20,Lookup!$A:$A,Lookup!$B:$B,"")</f>
        <v>Net Income</v>
      </c>
      <c r="K20" t="str">
        <f>_xlfn.XLOOKUP($A20,Lookup!$A:$A,Lookup!$C:$C,"")</f>
        <v>Positive</v>
      </c>
    </row>
    <row r="21" spans="1:11" x14ac:dyDescent="0.45">
      <c r="A21" s="15" t="str">
        <f>Lookup!A19</f>
        <v>Net Income (Total)</v>
      </c>
      <c r="B21" s="21">
        <f>IFERROR(SUMIFS('Cleaned Data'!$C:$C,'Cleaned Data'!$A:$A,_xlfn.XLOOKUP($A21,Lookup!$A:$A,Lookup!$D:$D),'Cleaned Data'!$B:$B,B$3),"")</f>
        <v>961</v>
      </c>
      <c r="C21" s="21">
        <f>IFERROR(SUMIFS('Cleaned Data'!$C:$C,'Cleaned Data'!$A:$A,_xlfn.XLOOKUP($A21,Lookup!$A:$A,Lookup!$D:$D),'Cleaned Data'!$B:$B,C$3),"")</f>
        <v>1387</v>
      </c>
      <c r="D21" s="21">
        <f>IFERROR(SUMIFS('Cleaned Data'!$C:$C,'Cleaned Data'!$A:$A,_xlfn.XLOOKUP($A21,Lookup!$A:$A,Lookup!$D:$D),'Cleaned Data'!$B:$B,D$3),"")</f>
        <v>1701</v>
      </c>
      <c r="E21" s="21">
        <f>IFERROR(SUMIFS('Cleaned Data'!$C:$C,'Cleaned Data'!$A:$A,_xlfn.XLOOKUP($A21,Lookup!$A:$A,Lookup!$D:$D),'Cleaned Data'!$B:$B,E$3),"")</f>
        <v>1864</v>
      </c>
      <c r="F21" s="21">
        <f>IFERROR(SUMIFS('Cleaned Data'!$C:$C,'Cleaned Data'!$A:$A,_xlfn.XLOOKUP($A21,Lookup!$A:$A,Lookup!$D:$D),'Cleaned Data'!$B:$B,F$3),"")</f>
        <v>353</v>
      </c>
      <c r="G21" s="21">
        <f>IFERROR(SUMIFS('Cleaned Data'!$C:$C,'Cleaned Data'!$A:$A,_xlfn.XLOOKUP($A21,Lookup!$A:$A,Lookup!$D:$D),'Cleaned Data'!$B:$B,G$3),"")</f>
        <v>1455</v>
      </c>
      <c r="H21" s="21">
        <f>IFERROR(SUMIFS('Cleaned Data'!$C:$C,'Cleaned Data'!$A:$A,_xlfn.XLOOKUP($A21,Lookup!$A:$A,Lookup!$D:$D),'Cleaned Data'!$B:$B,H$3),"")</f>
        <v>58</v>
      </c>
      <c r="I21">
        <f>IFERROR(SUMIFS('Cleaned Data'!$C:$C,'Cleaned Data'!$A:$A,_xlfn.XLOOKUP($A21,Lookup!$A:$A,Lookup!$D:$D),'Cleaned Data'!$B:$B,I$3),"")</f>
        <v>-26</v>
      </c>
      <c r="J21" t="str">
        <f>_xlfn.XLOOKUP($A21,Lookup!$A:$A,Lookup!$B:$B,"")</f>
        <v>Net Income</v>
      </c>
      <c r="K21" t="str">
        <f>_xlfn.XLOOKUP($A21,Lookup!$A:$A,Lookup!$C:$C,"")</f>
        <v>Positive</v>
      </c>
    </row>
    <row r="22" spans="1:11" x14ac:dyDescent="0.45">
      <c r="A22" s="15" t="str">
        <f>Lookup!A20</f>
        <v>Net Income from Continuing Ops.</v>
      </c>
      <c r="B22" s="21">
        <f>IFERROR(SUMIFS('Cleaned Data'!$C:$C,'Cleaned Data'!$A:$A,_xlfn.XLOOKUP($A22,Lookup!$A:$A,Lookup!$D:$D),'Cleaned Data'!$B:$B,B$3),"")</f>
        <v>961</v>
      </c>
      <c r="C22" s="21">
        <f>IFERROR(SUMIFS('Cleaned Data'!$C:$C,'Cleaned Data'!$A:$A,_xlfn.XLOOKUP($A22,Lookup!$A:$A,Lookup!$D:$D),'Cleaned Data'!$B:$B,C$3),"")</f>
        <v>1387</v>
      </c>
      <c r="D22" s="21">
        <f>IFERROR(SUMIFS('Cleaned Data'!$C:$C,'Cleaned Data'!$A:$A,_xlfn.XLOOKUP($A22,Lookup!$A:$A,Lookup!$D:$D),'Cleaned Data'!$B:$B,D$3),"")</f>
        <v>1701</v>
      </c>
      <c r="E22" s="21">
        <f>IFERROR(SUMIFS('Cleaned Data'!$C:$C,'Cleaned Data'!$A:$A,_xlfn.XLOOKUP($A22,Lookup!$A:$A,Lookup!$D:$D),'Cleaned Data'!$B:$B,E$3),"")</f>
        <v>1864</v>
      </c>
      <c r="F22" s="21">
        <f>IFERROR(SUMIFS('Cleaned Data'!$C:$C,'Cleaned Data'!$A:$A,_xlfn.XLOOKUP($A22,Lookup!$A:$A,Lookup!$D:$D),'Cleaned Data'!$B:$B,F$3),"")</f>
        <v>423</v>
      </c>
      <c r="G22" s="21">
        <f>IFERROR(SUMIFS('Cleaned Data'!$C:$C,'Cleaned Data'!$A:$A,_xlfn.XLOOKUP($A22,Lookup!$A:$A,Lookup!$D:$D),'Cleaned Data'!$B:$B,G$3),"")</f>
        <v>1223</v>
      </c>
      <c r="H22" s="21">
        <f>IFERROR(SUMIFS('Cleaned Data'!$C:$C,'Cleaned Data'!$A:$A,_xlfn.XLOOKUP($A22,Lookup!$A:$A,Lookup!$D:$D),'Cleaned Data'!$B:$B,H$3),"")</f>
        <v>58</v>
      </c>
      <c r="I22">
        <f>IFERROR(SUMIFS('Cleaned Data'!$C:$C,'Cleaned Data'!$A:$A,_xlfn.XLOOKUP($A22,Lookup!$A:$A,Lookup!$D:$D),'Cleaned Data'!$B:$B,I$3),"")</f>
        <v>-26</v>
      </c>
      <c r="J22" t="str">
        <f>_xlfn.XLOOKUP($A22,Lookup!$A:$A,Lookup!$B:$B,"")</f>
        <v>Net Income</v>
      </c>
      <c r="K22" t="str">
        <f>_xlfn.XLOOKUP($A22,Lookup!$A:$A,Lookup!$C:$C,"")</f>
        <v>Positive</v>
      </c>
    </row>
    <row r="23" spans="1:11" x14ac:dyDescent="0.45">
      <c r="A23" s="15" t="str">
        <f>Lookup!A21</f>
        <v>Net Income from Disc. Operations</v>
      </c>
      <c r="B23" s="21">
        <f>IFERROR(SUMIFS('Cleaned Data'!$C:$C,'Cleaned Data'!$A:$A,_xlfn.XLOOKUP($A23,Lookup!$A:$A,Lookup!$D:$D),'Cleaned Data'!$B:$B,B$3),"")</f>
        <v>0</v>
      </c>
      <c r="C23" s="21">
        <f>IFERROR(SUMIFS('Cleaned Data'!$C:$C,'Cleaned Data'!$A:$A,_xlfn.XLOOKUP($A23,Lookup!$A:$A,Lookup!$D:$D),'Cleaned Data'!$B:$B,C$3),"")</f>
        <v>0</v>
      </c>
      <c r="D23" s="21">
        <f>IFERROR(SUMIFS('Cleaned Data'!$C:$C,'Cleaned Data'!$A:$A,_xlfn.XLOOKUP($A23,Lookup!$A:$A,Lookup!$D:$D),'Cleaned Data'!$B:$B,D$3),"")</f>
        <v>0</v>
      </c>
      <c r="E23" s="21">
        <f>IFERROR(SUMIFS('Cleaned Data'!$C:$C,'Cleaned Data'!$A:$A,_xlfn.XLOOKUP($A23,Lookup!$A:$A,Lookup!$D:$D),'Cleaned Data'!$B:$B,E$3),"")</f>
        <v>0</v>
      </c>
      <c r="F23" s="21">
        <f>IFERROR(SUMIFS('Cleaned Data'!$C:$C,'Cleaned Data'!$A:$A,_xlfn.XLOOKUP($A23,Lookup!$A:$A,Lookup!$D:$D),'Cleaned Data'!$B:$B,F$3),"")</f>
        <v>-70</v>
      </c>
      <c r="G23" s="21">
        <f>IFERROR(SUMIFS('Cleaned Data'!$C:$C,'Cleaned Data'!$A:$A,_xlfn.XLOOKUP($A23,Lookup!$A:$A,Lookup!$D:$D),'Cleaned Data'!$B:$B,G$3),"")</f>
        <v>232</v>
      </c>
      <c r="H23" s="21">
        <f>IFERROR(SUMIFS('Cleaned Data'!$C:$C,'Cleaned Data'!$A:$A,_xlfn.XLOOKUP($A23,Lookup!$A:$A,Lookup!$D:$D),'Cleaned Data'!$B:$B,H$3),"")</f>
        <v>0</v>
      </c>
      <c r="I23">
        <f>IFERROR(SUMIFS('Cleaned Data'!$C:$C,'Cleaned Data'!$A:$A,_xlfn.XLOOKUP($A23,Lookup!$A:$A,Lookup!$D:$D),'Cleaned Data'!$B:$B,I$3),"")</f>
        <v>0</v>
      </c>
      <c r="J23" t="str">
        <f>_xlfn.XLOOKUP($A23,Lookup!$A:$A,Lookup!$B:$B,"")</f>
        <v>Net Income</v>
      </c>
      <c r="K23" t="str">
        <f>_xlfn.XLOOKUP($A23,Lookup!$A:$A,Lookup!$C:$C,"")</f>
        <v>Positive</v>
      </c>
    </row>
    <row r="24" spans="1:11" x14ac:dyDescent="0.45">
      <c r="A24" s="15" t="str">
        <f>Lookup!A22</f>
        <v>OPERATING PROFIT (EBIT)</v>
      </c>
      <c r="B24" s="21">
        <f>IFERROR(SUMIFS('Cleaned Data'!$C:$C,'Cleaned Data'!$A:$A,_xlfn.XLOOKUP($A24,Lookup!$A:$A,Lookup!$D:$D),'Cleaned Data'!$B:$B,B$3),"")</f>
        <v>1407</v>
      </c>
      <c r="C24" s="21">
        <f>IFERROR(SUMIFS('Cleaned Data'!$C:$C,'Cleaned Data'!$A:$A,_xlfn.XLOOKUP($A24,Lookup!$A:$A,Lookup!$D:$D),'Cleaned Data'!$B:$B,C$3),"")</f>
        <v>1985</v>
      </c>
      <c r="D24" s="21">
        <f>IFERROR(SUMIFS('Cleaned Data'!$C:$C,'Cleaned Data'!$A:$A,_xlfn.XLOOKUP($A24,Lookup!$A:$A,Lookup!$D:$D),'Cleaned Data'!$B:$B,D$3),"")</f>
        <v>2361</v>
      </c>
      <c r="E24" s="21">
        <f>IFERROR(SUMIFS('Cleaned Data'!$C:$C,'Cleaned Data'!$A:$A,_xlfn.XLOOKUP($A24,Lookup!$A:$A,Lookup!$D:$D),'Cleaned Data'!$B:$B,E$3),"")</f>
        <v>2620</v>
      </c>
      <c r="F24" s="21">
        <f>IFERROR(SUMIFS('Cleaned Data'!$C:$C,'Cleaned Data'!$A:$A,_xlfn.XLOOKUP($A24,Lookup!$A:$A,Lookup!$D:$D),'Cleaned Data'!$B:$B,F$3),"")</f>
        <v>803</v>
      </c>
      <c r="G24" s="21">
        <f>IFERROR(SUMIFS('Cleaned Data'!$C:$C,'Cleaned Data'!$A:$A,_xlfn.XLOOKUP($A24,Lookup!$A:$A,Lookup!$D:$D),'Cleaned Data'!$B:$B,G$3),"")</f>
        <v>1840</v>
      </c>
      <c r="H24" s="21">
        <f>IFERROR(SUMIFS('Cleaned Data'!$C:$C,'Cleaned Data'!$A:$A,_xlfn.XLOOKUP($A24,Lookup!$A:$A,Lookup!$D:$D),'Cleaned Data'!$B:$B,H$3),"")</f>
        <v>387</v>
      </c>
      <c r="I24">
        <f>IFERROR(SUMIFS('Cleaned Data'!$C:$C,'Cleaned Data'!$A:$A,_xlfn.XLOOKUP($A24,Lookup!$A:$A,Lookup!$D:$D),'Cleaned Data'!$B:$B,I$3),"")</f>
        <v>355</v>
      </c>
      <c r="J24" t="str">
        <f>_xlfn.XLOOKUP($A24,Lookup!$A:$A,Lookup!$B:$B,"")</f>
        <v>Operating Profit</v>
      </c>
      <c r="K24" t="str">
        <f>_xlfn.XLOOKUP($A24,Lookup!$A:$A,Lookup!$C:$C,"")</f>
        <v>Positive</v>
      </c>
    </row>
    <row r="25" spans="1:11" x14ac:dyDescent="0.45">
      <c r="A25" s="15" t="str">
        <f>Lookup!A23</f>
        <v>Operating Margin %</v>
      </c>
      <c r="B25" s="22">
        <f>IFERROR(SUMIFS('Cleaned Data'!$C:$C,'Cleaned Data'!$A:$A,_xlfn.XLOOKUP($A25,Lookup!$A:$A,Lookup!$D:$D),'Cleaned Data'!$B:$B,B$3),"")</f>
        <v>7.5999999999999998E-2</v>
      </c>
      <c r="C25" s="22">
        <f>IFERROR(SUMIFS('Cleaned Data'!$C:$C,'Cleaned Data'!$A:$A,_xlfn.XLOOKUP($A25,Lookup!$A:$A,Lookup!$D:$D),'Cleaned Data'!$B:$B,C$3),"")</f>
        <v>9.4E-2</v>
      </c>
      <c r="D25" s="22">
        <f>IFERROR(SUMIFS('Cleaned Data'!$C:$C,'Cleaned Data'!$A:$A,_xlfn.XLOOKUP($A25,Lookup!$A:$A,Lookup!$D:$D),'Cleaned Data'!$B:$B,D$3),"")</f>
        <v>0.10800000000000001</v>
      </c>
      <c r="E25" s="22">
        <f>IFERROR(SUMIFS('Cleaned Data'!$C:$C,'Cleaned Data'!$A:$A,_xlfn.XLOOKUP($A25,Lookup!$A:$A,Lookup!$D:$D),'Cleaned Data'!$B:$B,E$3),"")</f>
        <v>0.111</v>
      </c>
      <c r="F25" s="22">
        <f>IFERROR(SUMIFS('Cleaned Data'!$C:$C,'Cleaned Data'!$A:$A,_xlfn.XLOOKUP($A25,Lookup!$A:$A,Lookup!$D:$D),'Cleaned Data'!$B:$B,F$3),"")</f>
        <v>0.04</v>
      </c>
      <c r="G25" s="22">
        <f>IFERROR(SUMIFS('Cleaned Data'!$C:$C,'Cleaned Data'!$A:$A,_xlfn.XLOOKUP($A25,Lookup!$A:$A,Lookup!$D:$D),'Cleaned Data'!$B:$B,G$3),"")</f>
        <v>8.6999999999999994E-2</v>
      </c>
      <c r="H25" s="22">
        <f>IFERROR(SUMIFS('Cleaned Data'!$C:$C,'Cleaned Data'!$A:$A,_xlfn.XLOOKUP($A25,Lookup!$A:$A,Lookup!$D:$D),'Cleaned Data'!$B:$B,H$3),"")</f>
        <v>1.7000000000000001E-2</v>
      </c>
      <c r="I25" s="22">
        <f>IFERROR(SUMIFS('Cleaned Data'!$C:$C,'Cleaned Data'!$A:$A,_xlfn.XLOOKUP($A25,Lookup!$A:$A,Lookup!$D:$D),'Cleaned Data'!$B:$B,I$3),"")</f>
        <v>1.7000000000000001E-2</v>
      </c>
      <c r="J25" t="str">
        <f>_xlfn.XLOOKUP($A25,Lookup!$A:$A,Lookup!$B:$B,"")</f>
        <v>Margin</v>
      </c>
      <c r="K25" t="str">
        <f>_xlfn.XLOOKUP($A25,Lookup!$A:$A,Lookup!$C:$C,"")</f>
        <v>Percentage</v>
      </c>
    </row>
    <row r="26" spans="1:11" x14ac:dyDescent="0.45">
      <c r="A26" s="15" t="str">
        <f>Lookup!A24</f>
        <v>Other Businesses</v>
      </c>
      <c r="B26" s="21">
        <f>IFERROR(SUMIFS('Cleaned Data'!$C:$C,'Cleaned Data'!$A:$A,_xlfn.XLOOKUP($A26,Lookup!$A:$A,Lookup!$D:$D),'Cleaned Data'!$B:$B,B$3),"")</f>
        <v>979</v>
      </c>
      <c r="C26" s="21">
        <f>IFERROR(SUMIFS('Cleaned Data'!$C:$C,'Cleaned Data'!$A:$A,_xlfn.XLOOKUP($A26,Lookup!$A:$A,Lookup!$D:$D),'Cleaned Data'!$B:$B,C$3),"")</f>
        <v>1103</v>
      </c>
      <c r="D26" s="21">
        <f>IFERROR(SUMIFS('Cleaned Data'!$C:$C,'Cleaned Data'!$A:$A,_xlfn.XLOOKUP($A26,Lookup!$A:$A,Lookup!$D:$D),'Cleaned Data'!$B:$B,D$3),"")</f>
        <v>986</v>
      </c>
      <c r="E26" s="21">
        <f>IFERROR(SUMIFS('Cleaned Data'!$C:$C,'Cleaned Data'!$A:$A,_xlfn.XLOOKUP($A26,Lookup!$A:$A,Lookup!$D:$D),'Cleaned Data'!$B:$B,E$3),"")</f>
        <v>969</v>
      </c>
      <c r="F26" s="21">
        <f>IFERROR(SUMIFS('Cleaned Data'!$C:$C,'Cleaned Data'!$A:$A,_xlfn.XLOOKUP($A26,Lookup!$A:$A,Lookup!$D:$D),'Cleaned Data'!$B:$B,F$3),"")</f>
        <v>714</v>
      </c>
      <c r="G26" s="21">
        <f>IFERROR(SUMIFS('Cleaned Data'!$C:$C,'Cleaned Data'!$A:$A,_xlfn.XLOOKUP($A26,Lookup!$A:$A,Lookup!$D:$D),'Cleaned Data'!$B:$B,G$3),"")</f>
        <v>658</v>
      </c>
      <c r="H26" s="21">
        <f>IFERROR(SUMIFS('Cleaned Data'!$C:$C,'Cleaned Data'!$A:$A,_xlfn.XLOOKUP($A26,Lookup!$A:$A,Lookup!$D:$D),'Cleaned Data'!$B:$B,H$3),"")</f>
        <v>630</v>
      </c>
      <c r="I26">
        <f>IFERROR(SUMIFS('Cleaned Data'!$C:$C,'Cleaned Data'!$A:$A,_xlfn.XLOOKUP($A26,Lookup!$A:$A,Lookup!$D:$D),'Cleaned Data'!$B:$B,I$3),"")</f>
        <v>579</v>
      </c>
      <c r="J26" t="str">
        <f>_xlfn.XLOOKUP($A26,Lookup!$A:$A,Lookup!$B:$B,"")</f>
        <v>Revenue</v>
      </c>
      <c r="K26" t="str">
        <f>_xlfn.XLOOKUP($A26,Lookup!$A:$A,Lookup!$C:$C,"")</f>
        <v>Positive</v>
      </c>
    </row>
    <row r="27" spans="1:11" x14ac:dyDescent="0.45">
      <c r="A27" s="15" t="str">
        <f>Lookup!A25</f>
        <v>Other Operating Income</v>
      </c>
      <c r="B27" s="21">
        <f>IFERROR(SUMIFS('Cleaned Data'!$C:$C,'Cleaned Data'!$A:$A,_xlfn.XLOOKUP($A27,Lookup!$A:$A,Lookup!$D:$D),'Cleaned Data'!$B:$B,B$3),"")</f>
        <v>60</v>
      </c>
      <c r="C27" s="21">
        <f>IFERROR(SUMIFS('Cleaned Data'!$C:$C,'Cleaned Data'!$A:$A,_xlfn.XLOOKUP($A27,Lookup!$A:$A,Lookup!$D:$D),'Cleaned Data'!$B:$B,C$3),"")</f>
        <v>66</v>
      </c>
      <c r="D27" s="21">
        <f>IFERROR(SUMIFS('Cleaned Data'!$C:$C,'Cleaned Data'!$A:$A,_xlfn.XLOOKUP($A27,Lookup!$A:$A,Lookup!$D:$D),'Cleaned Data'!$B:$B,D$3),"")</f>
        <v>71</v>
      </c>
      <c r="E27" s="21">
        <f>IFERROR(SUMIFS('Cleaned Data'!$C:$C,'Cleaned Data'!$A:$A,_xlfn.XLOOKUP($A27,Lookup!$A:$A,Lookup!$D:$D),'Cleaned Data'!$B:$B,E$3),"")</f>
        <v>78</v>
      </c>
      <c r="F27" s="21">
        <f>IFERROR(SUMIFS('Cleaned Data'!$C:$C,'Cleaned Data'!$A:$A,_xlfn.XLOOKUP($A27,Lookup!$A:$A,Lookup!$D:$D),'Cleaned Data'!$B:$B,F$3),"")</f>
        <v>52</v>
      </c>
      <c r="G27" s="21">
        <f>IFERROR(SUMIFS('Cleaned Data'!$C:$C,'Cleaned Data'!$A:$A,_xlfn.XLOOKUP($A27,Lookup!$A:$A,Lookup!$D:$D),'Cleaned Data'!$B:$B,G$3),"")</f>
        <v>58</v>
      </c>
      <c r="H27" s="21">
        <f>IFERROR(SUMIFS('Cleaned Data'!$C:$C,'Cleaned Data'!$A:$A,_xlfn.XLOOKUP($A27,Lookup!$A:$A,Lookup!$D:$D),'Cleaned Data'!$B:$B,H$3),"")</f>
        <v>63</v>
      </c>
      <c r="I27">
        <f>IFERROR(SUMIFS('Cleaned Data'!$C:$C,'Cleaned Data'!$A:$A,_xlfn.XLOOKUP($A27,Lookup!$A:$A,Lookup!$D:$D),'Cleaned Data'!$B:$B,I$3),"")</f>
        <v>55</v>
      </c>
      <c r="J27" t="str">
        <f>_xlfn.XLOOKUP($A27,Lookup!$A:$A,Lookup!$B:$B,"")</f>
        <v>Operating Income</v>
      </c>
      <c r="K27" t="str">
        <f>_xlfn.XLOOKUP($A27,Lookup!$A:$A,Lookup!$C:$C,"")</f>
        <v>Positive</v>
      </c>
    </row>
    <row r="28" spans="1:11" x14ac:dyDescent="0.45">
      <c r="A28" s="15" t="str">
        <f>Lookup!A26</f>
        <v>Retail</v>
      </c>
      <c r="B28" s="21">
        <f>IFERROR(SUMIFS('Cleaned Data'!$C:$C,'Cleaned Data'!$A:$A,_xlfn.XLOOKUP($A28,Lookup!$A:$A,Lookup!$D:$D),'Cleaned Data'!$B:$B,B$3),"")</f>
        <v>5841</v>
      </c>
      <c r="C28" s="21">
        <f>IFERROR(SUMIFS('Cleaned Data'!$C:$C,'Cleaned Data'!$A:$A,_xlfn.XLOOKUP($A28,Lookup!$A:$A,Lookup!$D:$D),'Cleaned Data'!$B:$B,C$3),"")</f>
        <v>7172</v>
      </c>
      <c r="D28" s="21">
        <f>IFERROR(SUMIFS('Cleaned Data'!$C:$C,'Cleaned Data'!$A:$A,_xlfn.XLOOKUP($A28,Lookup!$A:$A,Lookup!$D:$D),'Cleaned Data'!$B:$B,D$3),"")</f>
        <v>8196</v>
      </c>
      <c r="E28" s="21">
        <f>IFERROR(SUMIFS('Cleaned Data'!$C:$C,'Cleaned Data'!$A:$A,_xlfn.XLOOKUP($A28,Lookup!$A:$A,Lookup!$D:$D),'Cleaned Data'!$B:$B,E$3),"")</f>
        <v>9480</v>
      </c>
      <c r="F28" s="21">
        <f>IFERROR(SUMIFS('Cleaned Data'!$C:$C,'Cleaned Data'!$A:$A,_xlfn.XLOOKUP($A28,Lookup!$A:$A,Lookup!$D:$D),'Cleaned Data'!$B:$B,F$3),"")</f>
        <v>8970</v>
      </c>
      <c r="G28" s="21">
        <f>IFERROR(SUMIFS('Cleaned Data'!$C:$C,'Cleaned Data'!$A:$A,_xlfn.XLOOKUP($A28,Lookup!$A:$A,Lookup!$D:$D),'Cleaned Data'!$B:$B,G$3),"")</f>
        <v>9428</v>
      </c>
      <c r="H28" s="21">
        <f>IFERROR(SUMIFS('Cleaned Data'!$C:$C,'Cleaned Data'!$A:$A,_xlfn.XLOOKUP($A28,Lookup!$A:$A,Lookup!$D:$D),'Cleaned Data'!$B:$B,H$3),"")</f>
        <v>9725</v>
      </c>
      <c r="I28">
        <f>IFERROR(SUMIFS('Cleaned Data'!$C:$C,'Cleaned Data'!$A:$A,_xlfn.XLOOKUP($A28,Lookup!$A:$A,Lookup!$D:$D),'Cleaned Data'!$B:$B,I$3),"")</f>
        <v>9706</v>
      </c>
      <c r="J28" t="str">
        <f>_xlfn.XLOOKUP($A28,Lookup!$A:$A,Lookup!$B:$B,"")</f>
        <v>Revenue</v>
      </c>
      <c r="K28" t="str">
        <f>_xlfn.XLOOKUP($A28,Lookup!$A:$A,Lookup!$C:$C,"")</f>
        <v>Positive</v>
      </c>
    </row>
    <row r="29" spans="1:11" x14ac:dyDescent="0.45">
      <c r="A29" s="15" t="str">
        <f>Lookup!A27</f>
        <v>Revenue Growth Y/Y</v>
      </c>
      <c r="B29" s="22">
        <f>IFERROR(SUMIFS('Cleaned Data'!$C:$C,'Cleaned Data'!$A:$A,_xlfn.XLOOKUP($A29,Lookup!$A:$A,Lookup!$D:$D),'Cleaned Data'!$B:$B,B$3),"")</f>
        <v>0</v>
      </c>
      <c r="C29" s="22">
        <f>IFERROR(SUMIFS('Cleaned Data'!$C:$C,'Cleaned Data'!$A:$A,_xlfn.XLOOKUP($A29,Lookup!$A:$A,Lookup!$D:$D),'Cleaned Data'!$B:$B,C$3),"")</f>
        <v>0.14800000000000002</v>
      </c>
      <c r="D29" s="22">
        <f>IFERROR(SUMIFS('Cleaned Data'!$C:$C,'Cleaned Data'!$A:$A,_xlfn.XLOOKUP($A29,Lookup!$A:$A,Lookup!$D:$D),'Cleaned Data'!$B:$B,D$3),"")</f>
        <v>3.3000000000000002E-2</v>
      </c>
      <c r="E29" s="22">
        <f>IFERROR(SUMIFS('Cleaned Data'!$C:$C,'Cleaned Data'!$A:$A,_xlfn.XLOOKUP($A29,Lookup!$A:$A,Lookup!$D:$D),'Cleaned Data'!$B:$B,E$3),"")</f>
        <v>7.9000000000000001E-2</v>
      </c>
      <c r="F29" s="22">
        <f>IFERROR(SUMIFS('Cleaned Data'!$C:$C,'Cleaned Data'!$A:$A,_xlfn.XLOOKUP($A29,Lookup!$A:$A,Lookup!$D:$D),'Cleaned Data'!$B:$B,F$3),"")</f>
        <v>-0.161</v>
      </c>
      <c r="G29" s="22">
        <f>IFERROR(SUMIFS('Cleaned Data'!$C:$C,'Cleaned Data'!$A:$A,_xlfn.XLOOKUP($A29,Lookup!$A:$A,Lookup!$D:$D),'Cleaned Data'!$B:$B,G$3),"")</f>
        <v>7.0000000000000007E-2</v>
      </c>
      <c r="H29" s="22">
        <f>IFERROR(SUMIFS('Cleaned Data'!$C:$C,'Cleaned Data'!$A:$A,_xlfn.XLOOKUP($A29,Lookup!$A:$A,Lookup!$D:$D),'Cleaned Data'!$B:$B,H$3),"")</f>
        <v>0.06</v>
      </c>
      <c r="I29" s="22">
        <f>IFERROR(SUMIFS('Cleaned Data'!$C:$C,'Cleaned Data'!$A:$A,_xlfn.XLOOKUP($A29,Lookup!$A:$A,Lookup!$D:$D),'Cleaned Data'!$B:$B,I$3),"")</f>
        <v>-4.8000000000000001E-2</v>
      </c>
      <c r="J29" t="str">
        <f>_xlfn.XLOOKUP($A29,Lookup!$A:$A,Lookup!$B:$B,"")</f>
        <v>Growth</v>
      </c>
      <c r="K29" t="str">
        <f>_xlfn.XLOOKUP($A29,Lookup!$A:$A,Lookup!$C:$C,"")</f>
        <v>Percentage</v>
      </c>
    </row>
    <row r="30" spans="1:11" x14ac:dyDescent="0.45">
      <c r="A30" s="15" t="str">
        <f>Lookup!A28</f>
        <v>Royalty and Commission Income</v>
      </c>
      <c r="B30" s="21">
        <f>IFERROR(SUMIFS('Cleaned Data'!$C:$C,'Cleaned Data'!$A:$A,_xlfn.XLOOKUP($A30,Lookup!$A:$A,Lookup!$D:$D),'Cleaned Data'!$B:$B,B$3),"")</f>
        <v>108</v>
      </c>
      <c r="C30" s="21">
        <f>IFERROR(SUMIFS('Cleaned Data'!$C:$C,'Cleaned Data'!$A:$A,_xlfn.XLOOKUP($A30,Lookup!$A:$A,Lookup!$D:$D),'Cleaned Data'!$B:$B,C$3),"")</f>
        <v>115</v>
      </c>
      <c r="D30" s="21">
        <f>IFERROR(SUMIFS('Cleaned Data'!$C:$C,'Cleaned Data'!$A:$A,_xlfn.XLOOKUP($A30,Lookup!$A:$A,Lookup!$D:$D),'Cleaned Data'!$B:$B,D$3),"")</f>
        <v>121</v>
      </c>
      <c r="E30" s="21">
        <f>IFERROR(SUMIFS('Cleaned Data'!$C:$C,'Cleaned Data'!$A:$A,_xlfn.XLOOKUP($A30,Lookup!$A:$A,Lookup!$D:$D),'Cleaned Data'!$B:$B,E$3),"")</f>
        <v>130</v>
      </c>
      <c r="F30" s="21">
        <f>IFERROR(SUMIFS('Cleaned Data'!$C:$C,'Cleaned Data'!$A:$A,_xlfn.XLOOKUP($A30,Lookup!$A:$A,Lookup!$D:$D),'Cleaned Data'!$B:$B,F$3),"")</f>
        <v>96</v>
      </c>
      <c r="G30" s="21">
        <f>IFERROR(SUMIFS('Cleaned Data'!$C:$C,'Cleaned Data'!$A:$A,_xlfn.XLOOKUP($A30,Lookup!$A:$A,Lookup!$D:$D),'Cleaned Data'!$B:$B,G$3),"")</f>
        <v>104</v>
      </c>
      <c r="H30" s="21">
        <f>IFERROR(SUMIFS('Cleaned Data'!$C:$C,'Cleaned Data'!$A:$A,_xlfn.XLOOKUP($A30,Lookup!$A:$A,Lookup!$D:$D),'Cleaned Data'!$B:$B,H$3),"")</f>
        <v>112</v>
      </c>
      <c r="I30">
        <f>IFERROR(SUMIFS('Cleaned Data'!$C:$C,'Cleaned Data'!$A:$A,_xlfn.XLOOKUP($A30,Lookup!$A:$A,Lookup!$D:$D),'Cleaned Data'!$B:$B,I$3),"")</f>
        <v>107</v>
      </c>
      <c r="J30" t="str">
        <f>_xlfn.XLOOKUP($A30,Lookup!$A:$A,Lookup!$B:$B,"")</f>
        <v>Operating Income</v>
      </c>
      <c r="K30" t="str">
        <f>_xlfn.XLOOKUP($A30,Lookup!$A:$A,Lookup!$C:$C,"")</f>
        <v>Positive</v>
      </c>
    </row>
    <row r="31" spans="1:11" x14ac:dyDescent="0.45">
      <c r="A31" s="15" t="str">
        <f>Lookup!A29</f>
        <v>Sundry Expenses</v>
      </c>
      <c r="B31" s="21">
        <f>IFERROR(SUMIFS('Cleaned Data'!$C:$C,'Cleaned Data'!$A:$A,_xlfn.XLOOKUP($A31,Lookup!$A:$A,Lookup!$D:$D),'Cleaned Data'!$B:$B,B$3),"")</f>
        <v>-185</v>
      </c>
      <c r="C31" s="21">
        <f>IFERROR(SUMIFS('Cleaned Data'!$C:$C,'Cleaned Data'!$A:$A,_xlfn.XLOOKUP($A31,Lookup!$A:$A,Lookup!$D:$D),'Cleaned Data'!$B:$B,C$3),"")</f>
        <v>-212</v>
      </c>
      <c r="D31" s="21">
        <f>IFERROR(SUMIFS('Cleaned Data'!$C:$C,'Cleaned Data'!$A:$A,_xlfn.XLOOKUP($A31,Lookup!$A:$A,Lookup!$D:$D),'Cleaned Data'!$B:$B,D$3),"")</f>
        <v>-219</v>
      </c>
      <c r="E31" s="21">
        <f>IFERROR(SUMIFS('Cleaned Data'!$C:$C,'Cleaned Data'!$A:$A,_xlfn.XLOOKUP($A31,Lookup!$A:$A,Lookup!$D:$D),'Cleaned Data'!$B:$B,E$3),"")</f>
        <v>-236</v>
      </c>
      <c r="F31" s="21">
        <f>IFERROR(SUMIFS('Cleaned Data'!$C:$C,'Cleaned Data'!$A:$A,_xlfn.XLOOKUP($A31,Lookup!$A:$A,Lookup!$D:$D),'Cleaned Data'!$B:$B,F$3),"")</f>
        <v>-198</v>
      </c>
      <c r="G31" s="21">
        <f>IFERROR(SUMIFS('Cleaned Data'!$C:$C,'Cleaned Data'!$A:$A,_xlfn.XLOOKUP($A31,Lookup!$A:$A,Lookup!$D:$D),'Cleaned Data'!$B:$B,G$3),"")</f>
        <v>-212</v>
      </c>
      <c r="H31" s="21">
        <f>IFERROR(SUMIFS('Cleaned Data'!$C:$C,'Cleaned Data'!$A:$A,_xlfn.XLOOKUP($A31,Lookup!$A:$A,Lookup!$D:$D),'Cleaned Data'!$B:$B,H$3),"")</f>
        <v>-225</v>
      </c>
      <c r="I31">
        <f>IFERROR(SUMIFS('Cleaned Data'!$C:$C,'Cleaned Data'!$A:$A,_xlfn.XLOOKUP($A31,Lookup!$A:$A,Lookup!$D:$D),'Cleaned Data'!$B:$B,I$3),"")</f>
        <v>-257</v>
      </c>
      <c r="J31" t="str">
        <f>_xlfn.XLOOKUP($A31,Lookup!$A:$A,Lookup!$B:$B,"")</f>
        <v>Operating Expenses</v>
      </c>
      <c r="K31" t="str">
        <f>_xlfn.XLOOKUP($A31,Lookup!$A:$A,Lookup!$C:$C,"")</f>
        <v>Negative</v>
      </c>
    </row>
    <row r="32" spans="1:11" x14ac:dyDescent="0.45">
      <c r="A32" s="15" t="str">
        <f>Lookup!A30</f>
        <v>Revenue</v>
      </c>
      <c r="B32" s="21">
        <f>IFERROR(SUMIFS('Cleaned Data'!$C:$C,'Cleaned Data'!$A:$A,_xlfn.XLOOKUP($A32,Lookup!$A:$A,Lookup!$D:$D),'Cleaned Data'!$B:$B,B$3),"")</f>
        <v>18483</v>
      </c>
      <c r="C32" s="21">
        <f>IFERROR(SUMIFS('Cleaned Data'!$C:$C,'Cleaned Data'!$A:$A,_xlfn.XLOOKUP($A32,Lookup!$A:$A,Lookup!$D:$D),'Cleaned Data'!$B:$B,C$3),"")</f>
        <v>21218</v>
      </c>
      <c r="D32" s="21">
        <f>IFERROR(SUMIFS('Cleaned Data'!$C:$C,'Cleaned Data'!$A:$A,_xlfn.XLOOKUP($A32,Lookup!$A:$A,Lookup!$D:$D),'Cleaned Data'!$B:$B,D$3),"")</f>
        <v>21915</v>
      </c>
      <c r="E32" s="21">
        <f>IFERROR(SUMIFS('Cleaned Data'!$C:$C,'Cleaned Data'!$A:$A,_xlfn.XLOOKUP($A32,Lookup!$A:$A,Lookup!$D:$D),'Cleaned Data'!$B:$B,E$3),"")</f>
        <v>23640</v>
      </c>
      <c r="F32" s="21">
        <f>IFERROR(SUMIFS('Cleaned Data'!$C:$C,'Cleaned Data'!$A:$A,_xlfn.XLOOKUP($A32,Lookup!$A:$A,Lookup!$D:$D),'Cleaned Data'!$B:$B,F$3),"")</f>
        <v>19844</v>
      </c>
      <c r="G32" s="21">
        <f>IFERROR(SUMIFS('Cleaned Data'!$C:$C,'Cleaned Data'!$A:$A,_xlfn.XLOOKUP($A32,Lookup!$A:$A,Lookup!$D:$D),'Cleaned Data'!$B:$B,G$3),"")</f>
        <v>21234</v>
      </c>
      <c r="H32" s="21">
        <f>IFERROR(SUMIFS('Cleaned Data'!$C:$C,'Cleaned Data'!$A:$A,_xlfn.XLOOKUP($A32,Lookup!$A:$A,Lookup!$D:$D),'Cleaned Data'!$B:$B,H$3),"")</f>
        <v>22511</v>
      </c>
      <c r="I32">
        <f>IFERROR(SUMIFS('Cleaned Data'!$C:$C,'Cleaned Data'!$A:$A,_xlfn.XLOOKUP($A32,Lookup!$A:$A,Lookup!$D:$D),'Cleaned Data'!$B:$B,I$3),"")</f>
        <v>21427</v>
      </c>
      <c r="J32" t="str">
        <f>_xlfn.XLOOKUP($A32,Lookup!$A:$A,Lookup!$B:$B,"")</f>
        <v>Revenue</v>
      </c>
      <c r="K32" t="str">
        <f>_xlfn.XLOOKUP($A32,Lookup!$A:$A,Lookup!$C:$C,"")</f>
        <v>Positive</v>
      </c>
    </row>
    <row r="33" spans="1:11" x14ac:dyDescent="0.45">
      <c r="A33" s="15" t="str">
        <f>Lookup!A31</f>
        <v>Other Operating Expenses</v>
      </c>
      <c r="B33" s="21">
        <f>IFERROR(SUMIFS('Cleaned Data'!$C:$C,'Cleaned Data'!$A:$A,_xlfn.XLOOKUP($A33,Lookup!$A:$A,Lookup!$D:$D),'Cleaned Data'!$B:$B,B$3),"")</f>
        <v>-7744</v>
      </c>
      <c r="C33" s="21">
        <f>IFERROR(SUMIFS('Cleaned Data'!$C:$C,'Cleaned Data'!$A:$A,_xlfn.XLOOKUP($A33,Lookup!$A:$A,Lookup!$D:$D),'Cleaned Data'!$B:$B,C$3),"")</f>
        <v>-8890</v>
      </c>
      <c r="D33" s="21">
        <f>IFERROR(SUMIFS('Cleaned Data'!$C:$C,'Cleaned Data'!$A:$A,_xlfn.XLOOKUP($A33,Lookup!$A:$A,Lookup!$D:$D),'Cleaned Data'!$B:$B,D$3),"")</f>
        <v>-9139</v>
      </c>
      <c r="E33" s="21">
        <f>IFERROR(SUMIFS('Cleaned Data'!$C:$C,'Cleaned Data'!$A:$A,_xlfn.XLOOKUP($A33,Lookup!$A:$A,Lookup!$D:$D),'Cleaned Data'!$B:$B,E$3),"")</f>
        <v>-9881</v>
      </c>
      <c r="F33" s="21">
        <f>IFERROR(SUMIFS('Cleaned Data'!$C:$C,'Cleaned Data'!$A:$A,_xlfn.XLOOKUP($A33,Lookup!$A:$A,Lookup!$D:$D),'Cleaned Data'!$B:$B,F$3),"")</f>
        <v>-9207</v>
      </c>
      <c r="G33" s="21">
        <f>IFERROR(SUMIFS('Cleaned Data'!$C:$C,'Cleaned Data'!$A:$A,_xlfn.XLOOKUP($A33,Lookup!$A:$A,Lookup!$D:$D),'Cleaned Data'!$B:$B,G$3),"")</f>
        <v>-9045</v>
      </c>
      <c r="H33" s="21">
        <f>IFERROR(SUMIFS('Cleaned Data'!$C:$C,'Cleaned Data'!$A:$A,_xlfn.XLOOKUP($A33,Lookup!$A:$A,Lookup!$D:$D),'Cleaned Data'!$B:$B,H$3),"")</f>
        <v>-10242</v>
      </c>
      <c r="I33">
        <f>IFERROR(SUMIFS('Cleaned Data'!$C:$C,'Cleaned Data'!$A:$A,_xlfn.XLOOKUP($A33,Lookup!$A:$A,Lookup!$D:$D),'Cleaned Data'!$B:$B,I$3),"")</f>
        <v>-9985</v>
      </c>
      <c r="J33" t="str">
        <f>_xlfn.XLOOKUP($A33,Lookup!$A:$A,Lookup!$B:$B,"")</f>
        <v>Operating Expenses</v>
      </c>
      <c r="K33" t="str">
        <f>_xlfn.XLOOKUP($A33,Lookup!$A:$A,Lookup!$C:$C,"")</f>
        <v>Negative</v>
      </c>
    </row>
    <row r="34" spans="1:11" x14ac:dyDescent="0.45">
      <c r="A34" s="15" t="str">
        <f>Lookup!A32</f>
        <v>Wholesale</v>
      </c>
      <c r="B34" s="21">
        <f>IFERROR(SUMIFS('Cleaned Data'!$C:$C,'Cleaned Data'!$A:$A,_xlfn.XLOOKUP($A34,Lookup!$A:$A,Lookup!$D:$D),'Cleaned Data'!$B:$B,B$3),"")</f>
        <v>11663</v>
      </c>
      <c r="C34" s="21">
        <f>IFERROR(SUMIFS('Cleaned Data'!$C:$C,'Cleaned Data'!$A:$A,_xlfn.XLOOKUP($A34,Lookup!$A:$A,Lookup!$D:$D),'Cleaned Data'!$B:$B,C$3),"")</f>
        <v>12943</v>
      </c>
      <c r="D34" s="21">
        <f>IFERROR(SUMIFS('Cleaned Data'!$C:$C,'Cleaned Data'!$A:$A,_xlfn.XLOOKUP($A34,Lookup!$A:$A,Lookup!$D:$D),'Cleaned Data'!$B:$B,D$3),"")</f>
        <v>12733</v>
      </c>
      <c r="E34" s="21">
        <f>IFERROR(SUMIFS('Cleaned Data'!$C:$C,'Cleaned Data'!$A:$A,_xlfn.XLOOKUP($A34,Lookup!$A:$A,Lookup!$D:$D),'Cleaned Data'!$B:$B,E$3),"")</f>
        <v>13191</v>
      </c>
      <c r="F34" s="21">
        <f>IFERROR(SUMIFS('Cleaned Data'!$C:$C,'Cleaned Data'!$A:$A,_xlfn.XLOOKUP($A34,Lookup!$A:$A,Lookup!$D:$D),'Cleaned Data'!$B:$B,F$3),"")</f>
        <v>10160</v>
      </c>
      <c r="G34" s="21">
        <f>IFERROR(SUMIFS('Cleaned Data'!$C:$C,'Cleaned Data'!$A:$A,_xlfn.XLOOKUP($A34,Lookup!$A:$A,Lookup!$D:$D),'Cleaned Data'!$B:$B,G$3),"")</f>
        <v>11148</v>
      </c>
      <c r="H34" s="21">
        <f>IFERROR(SUMIFS('Cleaned Data'!$C:$C,'Cleaned Data'!$A:$A,_xlfn.XLOOKUP($A34,Lookup!$A:$A,Lookup!$D:$D),'Cleaned Data'!$B:$B,H$3),"")</f>
        <v>12156</v>
      </c>
      <c r="I34">
        <f>IFERROR(SUMIFS('Cleaned Data'!$C:$C,'Cleaned Data'!$A:$A,_xlfn.XLOOKUP($A34,Lookup!$A:$A,Lookup!$D:$D),'Cleaned Data'!$B:$B,I$3),"")</f>
        <v>11142</v>
      </c>
      <c r="J34" t="str">
        <f>_xlfn.XLOOKUP($A34,Lookup!$A:$A,Lookup!$B:$B,"")</f>
        <v>Revenue</v>
      </c>
      <c r="K34" t="str">
        <f>_xlfn.XLOOKUP($A34,Lookup!$A:$A,Lookup!$C:$C,"")</f>
        <v>Positive</v>
      </c>
    </row>
    <row r="35" spans="1:11" x14ac:dyDescent="0.45">
      <c r="A35" s="15" t="str">
        <f>Lookup!A33</f>
        <v>Wtd. Avg Shares - Basic (mn)</v>
      </c>
      <c r="B35" s="23">
        <f>IFERROR(SUMIFS('Cleaned Data'!$C:$C,'Cleaned Data'!$A:$A,_xlfn.XLOOKUP($A35,Lookup!$A:$A,Lookup!$D:$D),'Cleaned Data'!$B:$B,B$3),"")</f>
        <v>201</v>
      </c>
      <c r="C35" s="23">
        <f>IFERROR(SUMIFS('Cleaned Data'!$C:$C,'Cleaned Data'!$A:$A,_xlfn.XLOOKUP($A35,Lookup!$A:$A,Lookup!$D:$D),'Cleaned Data'!$B:$B,C$3),"")</f>
        <v>202.5</v>
      </c>
      <c r="D35" s="23">
        <f>IFERROR(SUMIFS('Cleaned Data'!$C:$C,'Cleaned Data'!$A:$A,_xlfn.XLOOKUP($A35,Lookup!$A:$A,Lookup!$D:$D),'Cleaned Data'!$B:$B,D$3),"")</f>
        <v>200</v>
      </c>
      <c r="E35" s="23">
        <f>IFERROR(SUMIFS('Cleaned Data'!$C:$C,'Cleaned Data'!$A:$A,_xlfn.XLOOKUP($A35,Lookup!$A:$A,Lookup!$D:$D),'Cleaned Data'!$B:$B,E$3),"")</f>
        <v>195.7</v>
      </c>
      <c r="F35" s="23">
        <f>IFERROR(SUMIFS('Cleaned Data'!$C:$C,'Cleaned Data'!$A:$A,_xlfn.XLOOKUP($A35,Lookup!$A:$A,Lookup!$D:$D),'Cleaned Data'!$B:$B,F$3),"")</f>
        <v>194.3</v>
      </c>
      <c r="G35" s="23">
        <f>IFERROR(SUMIFS('Cleaned Data'!$C:$C,'Cleaned Data'!$A:$A,_xlfn.XLOOKUP($A35,Lookup!$A:$A,Lookup!$D:$D),'Cleaned Data'!$B:$B,G$3),"")</f>
        <v>195.8</v>
      </c>
      <c r="H35" s="23">
        <f>IFERROR(SUMIFS('Cleaned Data'!$C:$C,'Cleaned Data'!$A:$A,_xlfn.XLOOKUP($A35,Lookup!$A:$A,Lookup!$D:$D),'Cleaned Data'!$B:$B,H$3),"")</f>
        <v>183.5</v>
      </c>
      <c r="I35">
        <f>IFERROR(SUMIFS('Cleaned Data'!$C:$C,'Cleaned Data'!$A:$A,_xlfn.XLOOKUP($A35,Lookup!$A:$A,Lookup!$D:$D),'Cleaned Data'!$B:$B,I$3),"")</f>
        <v>178.6</v>
      </c>
      <c r="J35" t="str">
        <f>_xlfn.XLOOKUP($A35,Lookup!$A:$A,Lookup!$B:$B,"")</f>
        <v>Share Data</v>
      </c>
      <c r="K35" t="str">
        <f>_xlfn.XLOOKUP($A35,Lookup!$A:$A,Lookup!$C:$C,"")</f>
        <v>Shares</v>
      </c>
    </row>
    <row r="36" spans="1:11" x14ac:dyDescent="0.45">
      <c r="A36" s="15" t="str">
        <f>Lookup!A34</f>
        <v>Wtd. Avg Shares - Diluted (mn)</v>
      </c>
      <c r="B36" s="23">
        <f>IFERROR(SUMIFS('Cleaned Data'!$C:$C,'Cleaned Data'!$A:$A,_xlfn.XLOOKUP($A36,Lookup!$A:$A,Lookup!$D:$D),'Cleaned Data'!$B:$B,B$3),"")</f>
        <v>201.8</v>
      </c>
      <c r="C36" s="23">
        <f>IFERROR(SUMIFS('Cleaned Data'!$C:$C,'Cleaned Data'!$A:$A,_xlfn.XLOOKUP($A36,Lookup!$A:$A,Lookup!$D:$D),'Cleaned Data'!$B:$B,C$3),"")</f>
        <v>203.3</v>
      </c>
      <c r="D36" s="23">
        <f>IFERROR(SUMIFS('Cleaned Data'!$C:$C,'Cleaned Data'!$A:$A,_xlfn.XLOOKUP($A36,Lookup!$A:$A,Lookup!$D:$D),'Cleaned Data'!$B:$B,D$3),"")</f>
        <v>200.8</v>
      </c>
      <c r="E36" s="23">
        <f>IFERROR(SUMIFS('Cleaned Data'!$C:$C,'Cleaned Data'!$A:$A,_xlfn.XLOOKUP($A36,Lookup!$A:$A,Lookup!$D:$D),'Cleaned Data'!$B:$B,E$3),"")</f>
        <v>196.5</v>
      </c>
      <c r="F36" s="23">
        <f>IFERROR(SUMIFS('Cleaned Data'!$C:$C,'Cleaned Data'!$A:$A,_xlfn.XLOOKUP($A36,Lookup!$A:$A,Lookup!$D:$D),'Cleaned Data'!$B:$B,F$3),"")</f>
        <v>195.1</v>
      </c>
      <c r="G36" s="23">
        <f>IFERROR(SUMIFS('Cleaned Data'!$C:$C,'Cleaned Data'!$A:$A,_xlfn.XLOOKUP($A36,Lookup!$A:$A,Lookup!$D:$D),'Cleaned Data'!$B:$B,G$3),"")</f>
        <v>196.6</v>
      </c>
      <c r="H36" s="23">
        <f>IFERROR(SUMIFS('Cleaned Data'!$C:$C,'Cleaned Data'!$A:$A,_xlfn.XLOOKUP($A36,Lookup!$A:$A,Lookup!$D:$D),'Cleaned Data'!$B:$B,H$3),"")</f>
        <v>184.2</v>
      </c>
      <c r="I36">
        <f>IFERROR(SUMIFS('Cleaned Data'!$C:$C,'Cleaned Data'!$A:$A,_xlfn.XLOOKUP($A36,Lookup!$A:$A,Lookup!$D:$D),'Cleaned Data'!$B:$B,I$3),"")</f>
        <v>179.3</v>
      </c>
      <c r="J36" t="str">
        <f>_xlfn.XLOOKUP($A36,Lookup!$A:$A,Lookup!$B:$B,"")</f>
        <v>Share Data</v>
      </c>
      <c r="K36" t="str">
        <f>_xlfn.XLOOKUP($A36,Lookup!$A:$A,Lookup!$C:$C,"")</f>
        <v>Shares</v>
      </c>
    </row>
    <row r="39" spans="1:11" x14ac:dyDescent="0.45">
      <c r="A39" s="15" t="s">
        <v>160</v>
      </c>
      <c r="B39" s="15" t="s">
        <v>54</v>
      </c>
      <c r="C39" s="15" t="s">
        <v>55</v>
      </c>
      <c r="D39" s="15" t="s">
        <v>56</v>
      </c>
      <c r="E39" s="15" t="s">
        <v>57</v>
      </c>
      <c r="F39" s="15" t="s">
        <v>58</v>
      </c>
      <c r="G39" s="15" t="s">
        <v>59</v>
      </c>
      <c r="H39" s="15" t="s">
        <v>60</v>
      </c>
      <c r="I39" s="15" t="s">
        <v>61</v>
      </c>
    </row>
    <row r="40" spans="1:11" x14ac:dyDescent="0.45">
      <c r="C40" s="11">
        <f>(C32-B32)/B32</f>
        <v>0.14797381377482011</v>
      </c>
      <c r="D40" s="11">
        <f t="shared" ref="D40:I40" si="0">(D32-C32)/C32</f>
        <v>3.2849467433311338E-2</v>
      </c>
      <c r="E40" s="11">
        <f t="shared" si="0"/>
        <v>7.8713210130047909E-2</v>
      </c>
      <c r="F40" s="11">
        <f t="shared" si="0"/>
        <v>-0.16057529610829102</v>
      </c>
      <c r="G40" s="11">
        <f t="shared" si="0"/>
        <v>7.0046361620640998E-2</v>
      </c>
      <c r="H40" s="11">
        <f t="shared" si="0"/>
        <v>6.0139399076952059E-2</v>
      </c>
      <c r="I40" s="11">
        <f t="shared" si="0"/>
        <v>-4.8154235706987694E-2</v>
      </c>
    </row>
    <row r="41" spans="1:11" x14ac:dyDescent="0.45">
      <c r="A41" s="15" t="s">
        <v>161</v>
      </c>
      <c r="B41" s="15" t="s">
        <v>54</v>
      </c>
      <c r="C41" s="15" t="s">
        <v>55</v>
      </c>
      <c r="D41" s="15" t="s">
        <v>56</v>
      </c>
      <c r="E41" s="15" t="s">
        <v>57</v>
      </c>
      <c r="F41" s="15" t="s">
        <v>58</v>
      </c>
      <c r="G41" s="15" t="s">
        <v>59</v>
      </c>
      <c r="H41" s="15" t="s">
        <v>60</v>
      </c>
      <c r="I41" s="15" t="s">
        <v>61</v>
      </c>
    </row>
    <row r="42" spans="1:11" x14ac:dyDescent="0.45">
      <c r="C42" s="11">
        <f>(C12-B12)/B12</f>
        <v>0.19047088945786486</v>
      </c>
      <c r="D42" s="11">
        <f t="shared" ref="D42:I42" si="1">(D12-C12)/C12</f>
        <v>5.7415373106414813E-2</v>
      </c>
      <c r="E42" s="11">
        <f t="shared" si="1"/>
        <v>8.7106473293243725E-2</v>
      </c>
      <c r="F42" s="11">
        <f t="shared" si="1"/>
        <v>-0.19775481981615553</v>
      </c>
      <c r="G42" s="11">
        <f t="shared" si="1"/>
        <v>8.7304806327316978E-2</v>
      </c>
      <c r="H42" s="11">
        <f t="shared" si="1"/>
        <v>-6.9943112934813022E-3</v>
      </c>
      <c r="I42" s="11">
        <f t="shared" si="1"/>
        <v>-4.4139744552967694E-2</v>
      </c>
    </row>
    <row r="43" spans="1:11" x14ac:dyDescent="0.45">
      <c r="A43" s="15" t="s">
        <v>162</v>
      </c>
      <c r="B43" s="15" t="s">
        <v>54</v>
      </c>
      <c r="C43" s="15" t="s">
        <v>55</v>
      </c>
      <c r="D43" s="15" t="s">
        <v>56</v>
      </c>
      <c r="E43" s="15" t="s">
        <v>57</v>
      </c>
      <c r="F43" s="15" t="s">
        <v>58</v>
      </c>
      <c r="G43" s="15" t="s">
        <v>59</v>
      </c>
      <c r="H43" s="15" t="s">
        <v>60</v>
      </c>
      <c r="I43" s="15" t="s">
        <v>61</v>
      </c>
    </row>
    <row r="44" spans="1:11" x14ac:dyDescent="0.45">
      <c r="C44" s="11">
        <f>(C24-B24)/B24</f>
        <v>0.41080312722103768</v>
      </c>
      <c r="D44" s="11">
        <f t="shared" ref="D44:I44" si="2">(D24-C24)/C24</f>
        <v>0.18942065491183879</v>
      </c>
      <c r="E44" s="11">
        <f t="shared" si="2"/>
        <v>0.10969927996611606</v>
      </c>
      <c r="F44" s="11">
        <f t="shared" si="2"/>
        <v>-0.69351145038167938</v>
      </c>
      <c r="G44" s="11">
        <f t="shared" si="2"/>
        <v>1.2914072229140723</v>
      </c>
      <c r="H44" s="11">
        <f t="shared" si="2"/>
        <v>-0.78967391304347823</v>
      </c>
      <c r="I44" s="11">
        <f t="shared" si="2"/>
        <v>-8.2687338501291993E-2</v>
      </c>
    </row>
    <row r="45" spans="1:11" x14ac:dyDescent="0.45">
      <c r="A45" s="15" t="s">
        <v>163</v>
      </c>
      <c r="B45" s="15" t="s">
        <v>54</v>
      </c>
      <c r="C45" s="15" t="s">
        <v>55</v>
      </c>
      <c r="D45" s="15" t="s">
        <v>56</v>
      </c>
      <c r="E45" s="15" t="s">
        <v>57</v>
      </c>
      <c r="F45" s="15" t="s">
        <v>58</v>
      </c>
      <c r="G45" s="15" t="s">
        <v>59</v>
      </c>
      <c r="H45" s="15" t="s">
        <v>60</v>
      </c>
      <c r="I45" s="15" t="s">
        <v>61</v>
      </c>
    </row>
    <row r="46" spans="1:11" x14ac:dyDescent="0.45">
      <c r="C46" s="11">
        <f>(C21-B21)/B21</f>
        <v>0.44328824141519252</v>
      </c>
      <c r="D46" s="11">
        <f t="shared" ref="D46:I46" si="3">(D21-C21)/C21</f>
        <v>0.22638788752703676</v>
      </c>
      <c r="E46" s="11">
        <f t="shared" si="3"/>
        <v>9.5825984714873608E-2</v>
      </c>
      <c r="F46" s="11">
        <f t="shared" si="3"/>
        <v>-0.81062231759656656</v>
      </c>
      <c r="G46" s="11">
        <f t="shared" si="3"/>
        <v>3.1218130311614729</v>
      </c>
      <c r="H46" s="11">
        <f t="shared" si="3"/>
        <v>-0.96013745704467357</v>
      </c>
      <c r="I46" s="11">
        <f t="shared" si="3"/>
        <v>-1.4482758620689655</v>
      </c>
    </row>
    <row r="47" spans="1:11" x14ac:dyDescent="0.45">
      <c r="A47" s="15" t="s">
        <v>164</v>
      </c>
      <c r="B47" s="15" t="s">
        <v>54</v>
      </c>
      <c r="C47" s="15" t="s">
        <v>55</v>
      </c>
      <c r="D47" s="15" t="s">
        <v>56</v>
      </c>
      <c r="E47" s="15" t="s">
        <v>57</v>
      </c>
      <c r="F47" s="15" t="s">
        <v>58</v>
      </c>
      <c r="G47" s="15" t="s">
        <v>59</v>
      </c>
      <c r="H47" s="15" t="s">
        <v>60</v>
      </c>
      <c r="I47" s="15" t="s">
        <v>61</v>
      </c>
    </row>
    <row r="48" spans="1:11" x14ac:dyDescent="0.45">
      <c r="B48" s="11">
        <f>(I32/B32)^(1/7)-1</f>
        <v>2.1338830433525136E-2</v>
      </c>
      <c r="C48" s="11"/>
      <c r="D48" s="11"/>
      <c r="E48" s="11"/>
      <c r="F48" s="11"/>
      <c r="G48" s="11"/>
      <c r="H48" s="11"/>
      <c r="I48" s="11"/>
    </row>
    <row r="49" spans="1:9" x14ac:dyDescent="0.45">
      <c r="A49" s="15" t="s">
        <v>165</v>
      </c>
      <c r="B49" s="15" t="s">
        <v>54</v>
      </c>
      <c r="C49" s="15" t="s">
        <v>55</v>
      </c>
      <c r="D49" s="15" t="s">
        <v>56</v>
      </c>
      <c r="E49" s="15" t="s">
        <v>57</v>
      </c>
      <c r="F49" s="15" t="s">
        <v>58</v>
      </c>
      <c r="G49" s="15" t="s">
        <v>59</v>
      </c>
      <c r="H49" s="15" t="s">
        <v>60</v>
      </c>
      <c r="I49" s="15" t="s">
        <v>61</v>
      </c>
    </row>
    <row r="50" spans="1:9" x14ac:dyDescent="0.45">
      <c r="B50" s="11" t="s">
        <v>178</v>
      </c>
      <c r="C50" s="11" t="s">
        <v>198</v>
      </c>
      <c r="D50" s="11"/>
      <c r="E50" s="11"/>
      <c r="F50" s="11"/>
      <c r="G50" s="11"/>
      <c r="H50" s="11"/>
      <c r="I50" s="11"/>
    </row>
    <row r="52" spans="1:9" x14ac:dyDescent="0.45">
      <c r="A52" s="15" t="s">
        <v>166</v>
      </c>
      <c r="B52">
        <v>100</v>
      </c>
      <c r="C52" s="8">
        <f>(C32/$B32)*100</f>
        <v>114.79738137748201</v>
      </c>
      <c r="D52" s="8">
        <f t="shared" ref="D52:I52" si="4">(D32/$B32)*100</f>
        <v>118.56841421847102</v>
      </c>
      <c r="E52" s="8">
        <f t="shared" si="4"/>
        <v>127.90131472163611</v>
      </c>
      <c r="F52" s="8">
        <f t="shared" si="4"/>
        <v>107.36352323756965</v>
      </c>
      <c r="G52" s="8">
        <f t="shared" si="4"/>
        <v>114.88394741113454</v>
      </c>
      <c r="H52" s="8">
        <f t="shared" si="4"/>
        <v>121.79299897202836</v>
      </c>
      <c r="I52" s="8">
        <f t="shared" si="4"/>
        <v>115.92815019206839</v>
      </c>
    </row>
    <row r="53" spans="1:9" x14ac:dyDescent="0.45">
      <c r="A53" s="15" t="s">
        <v>167</v>
      </c>
      <c r="B53">
        <v>100</v>
      </c>
      <c r="C53" s="8">
        <f>(C12/$B12)*100</f>
        <v>119.04708894578648</v>
      </c>
      <c r="D53" s="8">
        <f t="shared" ref="D53:I53" si="5">(D12/$B12)*100</f>
        <v>125.88222197484136</v>
      </c>
      <c r="E53" s="8">
        <f t="shared" si="5"/>
        <v>136.84737838138707</v>
      </c>
      <c r="F53" s="8">
        <f t="shared" si="5"/>
        <v>109.78514972726261</v>
      </c>
      <c r="G53" s="8">
        <f t="shared" si="5"/>
        <v>119.36992096181676</v>
      </c>
      <c r="H53" s="8">
        <f t="shared" si="5"/>
        <v>118.53501057553156</v>
      </c>
      <c r="I53" s="8">
        <f t="shared" si="5"/>
        <v>113.30290548814428</v>
      </c>
    </row>
    <row r="54" spans="1:9" x14ac:dyDescent="0.45">
      <c r="A54" s="15" t="s">
        <v>168</v>
      </c>
      <c r="B54">
        <v>100</v>
      </c>
      <c r="C54" s="8">
        <f>(C33/$B33)*100</f>
        <v>114.79855371900827</v>
      </c>
      <c r="D54" s="8">
        <f t="shared" ref="D54:I54" si="6">(D33/$B33)*100</f>
        <v>118.01394628099173</v>
      </c>
      <c r="E54" s="8">
        <f t="shared" si="6"/>
        <v>127.59555785123966</v>
      </c>
      <c r="F54" s="8">
        <f t="shared" si="6"/>
        <v>118.89204545454545</v>
      </c>
      <c r="G54" s="8">
        <f t="shared" si="6"/>
        <v>116.80010330578511</v>
      </c>
      <c r="H54" s="8">
        <f t="shared" si="6"/>
        <v>132.25723140495867</v>
      </c>
      <c r="I54" s="8">
        <f t="shared" si="6"/>
        <v>128.93853305785123</v>
      </c>
    </row>
    <row r="56" spans="1:9" ht="21.4" x14ac:dyDescent="0.8">
      <c r="A56" s="16" t="s">
        <v>169</v>
      </c>
    </row>
    <row r="57" spans="1:9" x14ac:dyDescent="0.45">
      <c r="A57" s="15" t="s">
        <v>170</v>
      </c>
      <c r="B57" s="11">
        <f>ABS(B33)/B32</f>
        <v>0.41897960287832064</v>
      </c>
      <c r="C57" s="11">
        <f t="shared" ref="C57:I57" si="7">ABS(C33)/C32</f>
        <v>0.41898388160995381</v>
      </c>
      <c r="D57" s="11">
        <f t="shared" si="7"/>
        <v>0.4170203057266712</v>
      </c>
      <c r="E57" s="11">
        <f t="shared" si="7"/>
        <v>0.41797800338409474</v>
      </c>
      <c r="F57" s="11">
        <f t="shared" si="7"/>
        <v>0.46396895787139691</v>
      </c>
      <c r="G57" s="11">
        <f t="shared" si="7"/>
        <v>0.42596778751059622</v>
      </c>
      <c r="H57" s="11">
        <f t="shared" si="7"/>
        <v>0.45497756652303317</v>
      </c>
      <c r="I57" s="11">
        <f t="shared" si="7"/>
        <v>0.46600084006160453</v>
      </c>
    </row>
    <row r="58" spans="1:9" x14ac:dyDescent="0.45">
      <c r="A58" s="15" t="s">
        <v>171</v>
      </c>
      <c r="C58" s="11">
        <f>(ABS(C33)-ABS(B33))/ABS(B33)</f>
        <v>0.14798553719008264</v>
      </c>
      <c r="D58" s="11">
        <f t="shared" ref="D58:I58" si="8">(ABS(D33)-ABS(C33))/ABS(C33)</f>
        <v>2.8008998875140606E-2</v>
      </c>
      <c r="E58" s="11">
        <f t="shared" si="8"/>
        <v>8.1190502243133816E-2</v>
      </c>
      <c r="F58" s="11">
        <f t="shared" si="8"/>
        <v>-6.8211719461592962E-2</v>
      </c>
      <c r="G58" s="11">
        <f t="shared" si="8"/>
        <v>-1.7595307917888565E-2</v>
      </c>
      <c r="H58" s="11">
        <f t="shared" si="8"/>
        <v>0.13233830845771144</v>
      </c>
      <c r="I58" s="11">
        <f t="shared" si="8"/>
        <v>-2.5092755321226325E-2</v>
      </c>
    </row>
    <row r="59" spans="1:9" x14ac:dyDescent="0.45">
      <c r="A59" s="15"/>
    </row>
    <row r="60" spans="1:9" x14ac:dyDescent="0.45">
      <c r="A60" s="15" t="s">
        <v>23</v>
      </c>
      <c r="B60" s="11">
        <f>B15</f>
        <v>0.48599999999999999</v>
      </c>
      <c r="C60" s="11">
        <f t="shared" ref="C60:I60" si="9">C15</f>
        <v>0.504</v>
      </c>
      <c r="D60" s="11">
        <f t="shared" si="9"/>
        <v>0.51600000000000001</v>
      </c>
      <c r="E60" s="11">
        <f t="shared" si="9"/>
        <v>0.52</v>
      </c>
      <c r="F60" s="11">
        <f t="shared" si="9"/>
        <v>0.49700000000000005</v>
      </c>
      <c r="G60" s="11">
        <f t="shared" si="9"/>
        <v>0.505</v>
      </c>
      <c r="H60" s="11">
        <f t="shared" si="9"/>
        <v>0.47299999999999998</v>
      </c>
      <c r="I60" s="11">
        <f t="shared" si="9"/>
        <v>0.47499999999999998</v>
      </c>
    </row>
    <row r="61" spans="1:9" x14ac:dyDescent="0.45">
      <c r="A61" s="15" t="s">
        <v>36</v>
      </c>
      <c r="B61" s="11">
        <f>B25</f>
        <v>7.5999999999999998E-2</v>
      </c>
      <c r="C61" s="11">
        <f t="shared" ref="C61:I61" si="10">C25</f>
        <v>9.4E-2</v>
      </c>
      <c r="D61" s="11">
        <f t="shared" si="10"/>
        <v>0.10800000000000001</v>
      </c>
      <c r="E61" s="11">
        <f t="shared" si="10"/>
        <v>0.111</v>
      </c>
      <c r="F61" s="11">
        <f t="shared" si="10"/>
        <v>0.04</v>
      </c>
      <c r="G61" s="11">
        <f t="shared" si="10"/>
        <v>8.6999999999999994E-2</v>
      </c>
      <c r="H61" s="11">
        <f t="shared" si="10"/>
        <v>1.7000000000000001E-2</v>
      </c>
      <c r="I61" s="11">
        <f t="shared" si="10"/>
        <v>1.7000000000000001E-2</v>
      </c>
    </row>
    <row r="62" spans="1:9" x14ac:dyDescent="0.45">
      <c r="A62" s="15" t="s">
        <v>172</v>
      </c>
      <c r="B62" s="11">
        <f>B20/B32</f>
        <v>5.1344478710166098E-2</v>
      </c>
      <c r="C62" s="11">
        <f t="shared" ref="C62:I62" si="11">C20/C32</f>
        <v>6.4709209162032238E-2</v>
      </c>
      <c r="D62" s="11">
        <f t="shared" si="11"/>
        <v>7.7116130504220851E-2</v>
      </c>
      <c r="E62" s="11">
        <f t="shared" si="11"/>
        <v>7.8468697123519462E-2</v>
      </c>
      <c r="F62" s="11">
        <f t="shared" si="11"/>
        <v>1.7486393872203184E-2</v>
      </c>
      <c r="G62" s="11">
        <f t="shared" si="11"/>
        <v>6.8145427145144585E-2</v>
      </c>
      <c r="H62" s="11">
        <f t="shared" si="11"/>
        <v>2.221136333348141E-3</v>
      </c>
      <c r="I62" s="11">
        <f t="shared" si="11"/>
        <v>-1.5401129416157185E-3</v>
      </c>
    </row>
    <row r="63" spans="1:9" x14ac:dyDescent="0.45">
      <c r="A63" s="15"/>
    </row>
    <row r="64" spans="1:9" x14ac:dyDescent="0.45">
      <c r="A64" s="15" t="s">
        <v>173</v>
      </c>
      <c r="B64" t="str">
        <f>"Best: "&amp;INDEX($B$3:$I$3,MATCH(MAX($B$32:$I$32),$B$32:$I$32,0))&amp;" | Worst: "&amp;INDEX($B$3:$I$3,MATCH(MIN($B$32:$I$32),$B$32:$I$32,0))</f>
        <v>Best: FY2019 | Worst: FY2016</v>
      </c>
    </row>
    <row r="65" spans="1:9" x14ac:dyDescent="0.45">
      <c r="A65" s="15" t="s">
        <v>174</v>
      </c>
      <c r="B65" t="str">
        <f>"Best: "&amp;INDEX($B$3:$I$3,MATCH(MAX($B$24:$I$24),$B$24:$I$24,0))&amp;" | Worst: "&amp;INDEX($B$3:$I$3,MATCH(MIN($B$24:$I$24),$B$24:$I$24,0))</f>
        <v>Best: FY2019 | Worst: FY2023</v>
      </c>
    </row>
    <row r="66" spans="1:9" x14ac:dyDescent="0.45">
      <c r="A66" s="15" t="s">
        <v>175</v>
      </c>
      <c r="B66" t="str">
        <f>"Best: "&amp;INDEX($B$3:$I$3,MATCH(MAX($B$4:$I$4),$B$4:$I$4,0))&amp;" | Worst: "&amp;INDEX($B$3:$I$3,MATCH(MIN($B$4:$I$4),$B$4:$I$4,0))</f>
        <v>Best: FY2019 | Worst: FY2023</v>
      </c>
    </row>
    <row r="67" spans="1:9" x14ac:dyDescent="0.45">
      <c r="A67" s="15" t="s">
        <v>176</v>
      </c>
      <c r="B67" t="s">
        <v>177</v>
      </c>
    </row>
    <row r="68" spans="1:9" x14ac:dyDescent="0.45">
      <c r="A68" s="15"/>
    </row>
    <row r="69" spans="1:9" x14ac:dyDescent="0.45">
      <c r="A69" s="15" t="s">
        <v>179</v>
      </c>
      <c r="B69" s="12">
        <f>I60-E60</f>
        <v>-4.500000000000004E-2</v>
      </c>
    </row>
    <row r="70" spans="1:9" x14ac:dyDescent="0.45">
      <c r="A70" s="15" t="s">
        <v>180</v>
      </c>
      <c r="B70" s="12">
        <f>I61-E61</f>
        <v>-9.4E-2</v>
      </c>
    </row>
    <row r="71" spans="1:9" x14ac:dyDescent="0.45">
      <c r="A71" s="15" t="s">
        <v>181</v>
      </c>
      <c r="B71" s="12">
        <f>I62-E62</f>
        <v>-8.0008810065135175E-2</v>
      </c>
    </row>
    <row r="73" spans="1:9" ht="21.4" x14ac:dyDescent="0.8">
      <c r="A73" s="16" t="s">
        <v>182</v>
      </c>
      <c r="B73" s="11"/>
      <c r="C73" s="11"/>
      <c r="D73" s="11"/>
      <c r="E73" s="11"/>
      <c r="F73" s="11"/>
      <c r="G73" s="11"/>
      <c r="H73" s="11"/>
      <c r="I73" s="11"/>
    </row>
    <row r="74" spans="1:9" x14ac:dyDescent="0.45">
      <c r="A74" s="15" t="s">
        <v>183</v>
      </c>
      <c r="B74" s="8">
        <f>B20/B35</f>
        <v>4.721393034825871</v>
      </c>
      <c r="C74" s="8">
        <f t="shared" ref="C74:I74" si="12">C20/C35</f>
        <v>6.780246913580247</v>
      </c>
      <c r="D74" s="8">
        <f t="shared" si="12"/>
        <v>8.4499999999999993</v>
      </c>
      <c r="E74" s="8">
        <f t="shared" si="12"/>
        <v>9.4787940725600421</v>
      </c>
      <c r="F74" s="8">
        <f t="shared" si="12"/>
        <v>1.7858980957282551</v>
      </c>
      <c r="G74" s="8">
        <f t="shared" si="12"/>
        <v>7.3901940755873339</v>
      </c>
      <c r="H74" s="8">
        <f t="shared" si="12"/>
        <v>0.27247956403269757</v>
      </c>
      <c r="I74" s="8">
        <f t="shared" si="12"/>
        <v>-0.18477043673012319</v>
      </c>
    </row>
    <row r="75" spans="1:9" x14ac:dyDescent="0.45">
      <c r="A75" s="15" t="s">
        <v>184</v>
      </c>
      <c r="B75" s="8">
        <f>B20/B36</f>
        <v>4.7026759167492562</v>
      </c>
      <c r="C75" s="8">
        <f t="shared" ref="C75:I75" si="13">C20/C36</f>
        <v>6.7535661583866204</v>
      </c>
      <c r="D75" s="8">
        <f t="shared" si="13"/>
        <v>8.4163346613545809</v>
      </c>
      <c r="E75" s="8">
        <f t="shared" si="13"/>
        <v>9.440203562340967</v>
      </c>
      <c r="F75" s="8">
        <f t="shared" si="13"/>
        <v>1.7785750896975909</v>
      </c>
      <c r="G75" s="8">
        <f t="shared" si="13"/>
        <v>7.3601220752797563</v>
      </c>
      <c r="H75" s="8">
        <f t="shared" si="13"/>
        <v>0.2714440825190011</v>
      </c>
      <c r="I75" s="8">
        <f t="shared" si="13"/>
        <v>-0.18404907975460122</v>
      </c>
    </row>
    <row r="76" spans="1:9" x14ac:dyDescent="0.45">
      <c r="A76" s="15"/>
    </row>
    <row r="77" spans="1:9" ht="21.4" x14ac:dyDescent="0.8">
      <c r="A77" s="16" t="s">
        <v>185</v>
      </c>
      <c r="B77" s="16" t="str">
        <f>INDEX($B$3:$I$3,MATCH(MAX($B$9:$I$9),$B$9:$I$9,0))</f>
        <v>FY2023</v>
      </c>
    </row>
    <row r="78" spans="1:9" x14ac:dyDescent="0.45">
      <c r="A78" s="15" t="s">
        <v>186</v>
      </c>
      <c r="B78" s="11">
        <f>MAX($B$9:$I$9)</f>
        <v>1.149</v>
      </c>
    </row>
    <row r="80" spans="1:9" ht="21.4" x14ac:dyDescent="0.8">
      <c r="A80" s="16" t="s">
        <v>170</v>
      </c>
      <c r="B80" s="16" t="s">
        <v>187</v>
      </c>
    </row>
    <row r="81" spans="1:4" x14ac:dyDescent="0.45">
      <c r="A81" s="15" t="s">
        <v>199</v>
      </c>
      <c r="B81" s="19">
        <v>0.46600000000000003</v>
      </c>
    </row>
    <row r="83" spans="1:4" ht="21.4" x14ac:dyDescent="0.8">
      <c r="A83" s="16" t="s">
        <v>188</v>
      </c>
    </row>
    <row r="84" spans="1:4" x14ac:dyDescent="0.45">
      <c r="A84" s="15" t="s">
        <v>41</v>
      </c>
      <c r="B84" s="11">
        <f>B28/B32</f>
        <v>0.31602012660282419</v>
      </c>
      <c r="C84" s="11">
        <f>I28/I32</f>
        <v>0.45297988519158072</v>
      </c>
    </row>
    <row r="85" spans="1:4" x14ac:dyDescent="0.45">
      <c r="A85" s="15" t="s">
        <v>48</v>
      </c>
      <c r="B85" s="11">
        <f>B34/B32</f>
        <v>0.6310122815560244</v>
      </c>
      <c r="C85" s="11">
        <f>I34/I32</f>
        <v>0.5199981331964344</v>
      </c>
    </row>
    <row r="86" spans="1:4" x14ac:dyDescent="0.45">
      <c r="A86" s="15" t="s">
        <v>37</v>
      </c>
      <c r="B86" s="11">
        <f>B26/B32</f>
        <v>5.2967591841151331E-2</v>
      </c>
      <c r="C86" s="11">
        <f>I26/I32</f>
        <v>2.702198161198488E-2</v>
      </c>
    </row>
    <row r="88" spans="1:4" ht="21.4" x14ac:dyDescent="0.8">
      <c r="A88" s="16" t="s">
        <v>189</v>
      </c>
      <c r="B88" s="16" t="s">
        <v>54</v>
      </c>
      <c r="C88" s="16" t="s">
        <v>61</v>
      </c>
    </row>
    <row r="89" spans="1:4" x14ac:dyDescent="0.45">
      <c r="A89" s="15" t="s">
        <v>190</v>
      </c>
      <c r="B89">
        <f>B28</f>
        <v>5841</v>
      </c>
      <c r="C89">
        <f>I28</f>
        <v>9706</v>
      </c>
      <c r="D89" s="11">
        <f>(C89/B89)-1</f>
        <v>0.66170176339667863</v>
      </c>
    </row>
    <row r="90" spans="1:4" x14ac:dyDescent="0.45">
      <c r="A90" s="15" t="s">
        <v>191</v>
      </c>
      <c r="B90">
        <f>B34</f>
        <v>11663</v>
      </c>
      <c r="C90">
        <f>I34</f>
        <v>11142</v>
      </c>
      <c r="D90" s="11">
        <f>(C90/B90)-1</f>
        <v>-4.4671182371602502E-2</v>
      </c>
    </row>
    <row r="93" spans="1:4" ht="21.4" x14ac:dyDescent="0.8">
      <c r="A93" s="16" t="s">
        <v>200</v>
      </c>
      <c r="B93" s="16" t="s">
        <v>60</v>
      </c>
      <c r="C93" s="16" t="s">
        <v>61</v>
      </c>
    </row>
    <row r="94" spans="1:4" x14ac:dyDescent="0.45">
      <c r="A94" s="15" t="s">
        <v>201</v>
      </c>
      <c r="B94" s="19">
        <v>1.7000000000000001E-2</v>
      </c>
      <c r="C94" s="19">
        <v>1.7000000000000001E-2</v>
      </c>
    </row>
    <row r="95" spans="1:4" x14ac:dyDescent="0.45">
      <c r="A95" s="15" t="s">
        <v>25</v>
      </c>
      <c r="B95" s="14">
        <v>232</v>
      </c>
      <c r="C95" s="14">
        <v>175</v>
      </c>
    </row>
    <row r="96" spans="1:4" x14ac:dyDescent="0.45">
      <c r="A96" s="15" t="s">
        <v>26</v>
      </c>
      <c r="B96" s="14">
        <v>-174</v>
      </c>
      <c r="C96" s="14">
        <v>-201</v>
      </c>
    </row>
    <row r="97" spans="1:4" x14ac:dyDescent="0.45">
      <c r="A97" s="15" t="s">
        <v>30</v>
      </c>
      <c r="B97" s="14">
        <v>58</v>
      </c>
      <c r="C97" s="14">
        <v>-26</v>
      </c>
    </row>
    <row r="100" spans="1:4" ht="21.4" x14ac:dyDescent="0.8">
      <c r="A100" s="16" t="s">
        <v>202</v>
      </c>
      <c r="B100" s="15" t="s">
        <v>203</v>
      </c>
    </row>
    <row r="103" spans="1:4" ht="21.4" x14ac:dyDescent="0.8">
      <c r="A103" s="16" t="s">
        <v>204</v>
      </c>
    </row>
    <row r="104" spans="1:4" x14ac:dyDescent="0.45">
      <c r="A104" s="15" t="s">
        <v>205</v>
      </c>
      <c r="B104" s="12">
        <v>0.54500000000000004</v>
      </c>
      <c r="C104" s="12">
        <v>0.58199999999999996</v>
      </c>
      <c r="D104" s="12">
        <v>3.6999999999999998E-2</v>
      </c>
    </row>
    <row r="105" spans="1:4" x14ac:dyDescent="0.45">
      <c r="A105" s="15" t="s">
        <v>206</v>
      </c>
      <c r="B105" s="12">
        <v>0.39300000000000002</v>
      </c>
      <c r="C105" s="12">
        <v>0.36199999999999999</v>
      </c>
      <c r="D105" s="12">
        <v>-3.1E-2</v>
      </c>
    </row>
    <row r="106" spans="1:4" x14ac:dyDescent="0.45">
      <c r="A106" s="15" t="s">
        <v>207</v>
      </c>
      <c r="B106" s="12">
        <v>6.2E-2</v>
      </c>
      <c r="C106" s="12">
        <v>5.6000000000000001E-2</v>
      </c>
      <c r="D106" s="12">
        <v>-6.0000000000000001E-3</v>
      </c>
    </row>
    <row r="108" spans="1:4" ht="21.4" x14ac:dyDescent="0.8">
      <c r="A108" s="16" t="s">
        <v>208</v>
      </c>
      <c r="B108" s="16" t="s">
        <v>209</v>
      </c>
      <c r="C108" s="16" t="s">
        <v>61</v>
      </c>
    </row>
    <row r="109" spans="1:4" x14ac:dyDescent="0.45">
      <c r="A109" s="15" t="s">
        <v>212</v>
      </c>
      <c r="B109" s="12">
        <v>0.90600000000000003</v>
      </c>
      <c r="C109" t="s">
        <v>211</v>
      </c>
    </row>
    <row r="110" spans="1:4" x14ac:dyDescent="0.45">
      <c r="A110" s="15" t="s">
        <v>210</v>
      </c>
      <c r="B110" s="12">
        <v>9.4E-2</v>
      </c>
      <c r="C110" t="s">
        <v>178</v>
      </c>
    </row>
    <row r="111" spans="1:4" x14ac:dyDescent="0.45">
      <c r="A111" s="15"/>
    </row>
    <row r="112" spans="1:4" x14ac:dyDescent="0.45">
      <c r="A112" s="14" t="s">
        <v>213</v>
      </c>
    </row>
    <row r="115" spans="1:9" ht="21.4" x14ac:dyDescent="0.8">
      <c r="A115" s="16" t="s">
        <v>214</v>
      </c>
      <c r="B115" s="16" t="s">
        <v>54</v>
      </c>
      <c r="C115" s="16" t="s">
        <v>55</v>
      </c>
      <c r="D115" s="16" t="s">
        <v>56</v>
      </c>
      <c r="E115" s="16" t="s">
        <v>57</v>
      </c>
      <c r="F115" s="16" t="s">
        <v>58</v>
      </c>
      <c r="G115" s="16" t="s">
        <v>59</v>
      </c>
      <c r="H115" s="16" t="s">
        <v>60</v>
      </c>
      <c r="I115" s="16" t="s">
        <v>61</v>
      </c>
    </row>
    <row r="116" spans="1:9" x14ac:dyDescent="0.45">
      <c r="A116" s="15" t="s">
        <v>215</v>
      </c>
      <c r="B116" s="20">
        <v>60617</v>
      </c>
      <c r="C116" s="20">
        <v>56888</v>
      </c>
      <c r="D116" s="20">
        <v>57016</v>
      </c>
      <c r="E116" s="20">
        <v>59533</v>
      </c>
      <c r="F116" s="20">
        <v>62285</v>
      </c>
      <c r="G116" s="20">
        <v>61401</v>
      </c>
      <c r="H116" s="20">
        <v>59258</v>
      </c>
      <c r="I116" s="20">
        <v>57069</v>
      </c>
    </row>
    <row r="117" spans="1:9" x14ac:dyDescent="0.45">
      <c r="A117" s="15" t="s">
        <v>216</v>
      </c>
      <c r="B117">
        <v>304.89999999999998</v>
      </c>
      <c r="C117">
        <v>373</v>
      </c>
      <c r="D117">
        <v>384.4</v>
      </c>
      <c r="E117">
        <v>397.1</v>
      </c>
      <c r="F117">
        <v>318.60000000000002</v>
      </c>
      <c r="G117">
        <v>345.8</v>
      </c>
      <c r="H117">
        <v>379.9</v>
      </c>
      <c r="I117">
        <v>375.5</v>
      </c>
    </row>
    <row r="119" spans="1:9" ht="21.4" x14ac:dyDescent="0.8">
      <c r="A119" s="16" t="s">
        <v>217</v>
      </c>
      <c r="B119" s="15" t="s">
        <v>220</v>
      </c>
    </row>
    <row r="120" spans="1:9" ht="21.4" x14ac:dyDescent="0.8">
      <c r="A120" s="16" t="s">
        <v>219</v>
      </c>
      <c r="B120" s="15" t="s">
        <v>218</v>
      </c>
    </row>
  </sheetData>
  <phoneticPr fontId="2" type="noConversion"/>
  <conditionalFormatting sqref="A60:I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35" fitToHeight="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1231-EAC8-4A84-9372-13824ACC890F}">
  <dimension ref="A1:H45"/>
  <sheetViews>
    <sheetView tabSelected="1" zoomScale="40" zoomScaleNormal="40" workbookViewId="0">
      <selection activeCell="K32" sqref="K32"/>
    </sheetView>
  </sheetViews>
  <sheetFormatPr defaultRowHeight="14.25" x14ac:dyDescent="0.45"/>
  <cols>
    <col min="1" max="1" width="41.1328125" customWidth="1"/>
    <col min="2" max="2" width="31.265625" customWidth="1"/>
    <col min="3" max="3" width="27.46484375" customWidth="1"/>
    <col min="4" max="4" width="28.59765625" customWidth="1"/>
    <col min="5" max="5" width="29.86328125" customWidth="1"/>
    <col min="6" max="6" width="28.06640625" customWidth="1"/>
    <col min="7" max="7" width="26.46484375" customWidth="1"/>
    <col min="8" max="8" width="24.46484375" customWidth="1"/>
  </cols>
  <sheetData>
    <row r="1" spans="1:8" ht="24.4" x14ac:dyDescent="0.9">
      <c r="A1" s="25" t="s">
        <v>222</v>
      </c>
      <c r="B1" s="25"/>
      <c r="C1" s="25"/>
      <c r="D1" s="25"/>
      <c r="E1" s="25"/>
      <c r="F1" s="25"/>
      <c r="G1" s="25"/>
      <c r="H1" s="25"/>
    </row>
    <row r="2" spans="1:8" ht="24.4" x14ac:dyDescent="0.9">
      <c r="A2" s="25" t="s">
        <v>223</v>
      </c>
      <c r="B2" s="25"/>
      <c r="C2" s="25"/>
      <c r="D2" s="25"/>
      <c r="E2" s="25"/>
      <c r="F2" s="25"/>
      <c r="G2" s="25"/>
      <c r="H2" s="25"/>
    </row>
    <row r="4" spans="1:8" ht="17.649999999999999" x14ac:dyDescent="0.5">
      <c r="A4" s="26" t="s">
        <v>224</v>
      </c>
    </row>
    <row r="5" spans="1:8" x14ac:dyDescent="0.45">
      <c r="A5" s="24" t="s">
        <v>225</v>
      </c>
      <c r="B5" s="14">
        <f>'Master P&amp;L'!I32</f>
        <v>21427</v>
      </c>
      <c r="C5" s="24" t="s">
        <v>226</v>
      </c>
      <c r="D5" s="19">
        <f>'Master P&amp;L'!I61</f>
        <v>1.7000000000000001E-2</v>
      </c>
      <c r="E5" s="24" t="s">
        <v>227</v>
      </c>
      <c r="F5" s="19">
        <f>'Master P&amp;L'!I62</f>
        <v>-1.5401129416157185E-3</v>
      </c>
      <c r="G5" s="24" t="s">
        <v>164</v>
      </c>
      <c r="H5" s="19">
        <f>'Master P&amp;L'!B48</f>
        <v>2.1338830433525136E-2</v>
      </c>
    </row>
    <row r="7" spans="1:8" ht="17.649999999999999" x14ac:dyDescent="0.5">
      <c r="A7" s="26" t="s">
        <v>228</v>
      </c>
    </row>
    <row r="8" spans="1:8" x14ac:dyDescent="0.45">
      <c r="A8" s="24" t="s">
        <v>229</v>
      </c>
      <c r="B8" s="14">
        <f>'Master P&amp;L'!B32</f>
        <v>18483</v>
      </c>
      <c r="C8" s="24" t="s">
        <v>225</v>
      </c>
      <c r="D8" s="14">
        <f>'Master P&amp;L'!I32</f>
        <v>21427</v>
      </c>
      <c r="E8" s="24" t="s">
        <v>230</v>
      </c>
      <c r="F8" s="14">
        <f>D8-B8</f>
        <v>2944</v>
      </c>
      <c r="G8" s="24" t="s">
        <v>164</v>
      </c>
      <c r="H8" s="19">
        <f>'Master P&amp;L'!B48</f>
        <v>2.1338830433525136E-2</v>
      </c>
    </row>
    <row r="10" spans="1:8" ht="17.649999999999999" x14ac:dyDescent="0.5">
      <c r="A10" s="26" t="s">
        <v>231</v>
      </c>
    </row>
    <row r="11" spans="1:8" x14ac:dyDescent="0.45">
      <c r="A11" s="24" t="s">
        <v>232</v>
      </c>
      <c r="B11" s="19">
        <f>'Master P&amp;L'!E61</f>
        <v>0.111</v>
      </c>
      <c r="C11" s="24" t="s">
        <v>226</v>
      </c>
      <c r="D11" s="19">
        <f>'Master P&amp;L'!I61</f>
        <v>1.7000000000000001E-2</v>
      </c>
      <c r="E11" s="24" t="s">
        <v>180</v>
      </c>
      <c r="F11" s="19">
        <f>'Master P&amp;L'!B70</f>
        <v>-9.4E-2</v>
      </c>
      <c r="G11" s="24" t="s">
        <v>227</v>
      </c>
      <c r="H11" s="19">
        <f>'Master P&amp;L'!I62</f>
        <v>-1.5401129416157185E-3</v>
      </c>
    </row>
    <row r="13" spans="1:8" ht="17.649999999999999" x14ac:dyDescent="0.5">
      <c r="A13" s="26" t="s">
        <v>233</v>
      </c>
    </row>
    <row r="14" spans="1:8" x14ac:dyDescent="0.45">
      <c r="A14" s="24" t="s">
        <v>234</v>
      </c>
      <c r="B14" s="19">
        <f>'Master P&amp;L'!B84</f>
        <v>0.31602012660282419</v>
      </c>
      <c r="C14" s="24" t="s">
        <v>235</v>
      </c>
      <c r="D14" s="19">
        <f>'Master P&amp;L'!C84</f>
        <v>0.45297988519158072</v>
      </c>
      <c r="E14" s="24" t="s">
        <v>236</v>
      </c>
      <c r="F14" s="19">
        <f>'Master P&amp;L'!B85</f>
        <v>0.6310122815560244</v>
      </c>
      <c r="G14" s="24" t="s">
        <v>237</v>
      </c>
      <c r="H14" s="19">
        <f>'Master P&amp;L'!C85</f>
        <v>0.5199981331964344</v>
      </c>
    </row>
    <row r="16" spans="1:8" ht="17.649999999999999" x14ac:dyDescent="0.5">
      <c r="A16" s="26" t="s">
        <v>239</v>
      </c>
    </row>
    <row r="17" spans="1:8" x14ac:dyDescent="0.45">
      <c r="A17" s="24" t="s">
        <v>238</v>
      </c>
      <c r="B17" s="14" t="str">
        <f>'Master P&amp;L'!B64</f>
        <v>Best: FY2019 | Worst: FY2016</v>
      </c>
      <c r="C17" s="24" t="s">
        <v>240</v>
      </c>
      <c r="D17" s="14" t="str">
        <f>'Master P&amp;L'!B65</f>
        <v>Best: FY2019 | Worst: FY2023</v>
      </c>
      <c r="E17" s="24" t="s">
        <v>241</v>
      </c>
      <c r="F17" s="14" t="str">
        <f>'Master P&amp;L'!B66</f>
        <v>Best: FY2019 | Worst: FY2023</v>
      </c>
      <c r="G17" s="24" t="s">
        <v>242</v>
      </c>
      <c r="H17" s="14" t="str">
        <f>'Master P&amp;L'!B77</f>
        <v>FY2023</v>
      </c>
    </row>
    <row r="19" spans="1:8" ht="17.649999999999999" x14ac:dyDescent="0.5">
      <c r="A19" s="26" t="s">
        <v>243</v>
      </c>
    </row>
    <row r="20" spans="1:8" x14ac:dyDescent="0.45">
      <c r="A20" s="24" t="s">
        <v>35</v>
      </c>
      <c r="B20" s="14" t="s">
        <v>244</v>
      </c>
      <c r="C20" t="s">
        <v>245</v>
      </c>
    </row>
    <row r="21" spans="1:8" x14ac:dyDescent="0.45">
      <c r="A21" s="24" t="s">
        <v>25</v>
      </c>
      <c r="B21" s="14" t="s">
        <v>246</v>
      </c>
      <c r="C21" t="s">
        <v>247</v>
      </c>
    </row>
    <row r="22" spans="1:8" x14ac:dyDescent="0.45">
      <c r="A22" s="24" t="s">
        <v>26</v>
      </c>
      <c r="B22" s="14" t="s">
        <v>248</v>
      </c>
      <c r="C22" t="s">
        <v>249</v>
      </c>
    </row>
    <row r="23" spans="1:8" x14ac:dyDescent="0.45">
      <c r="A23" s="24" t="s">
        <v>30</v>
      </c>
      <c r="B23" s="14" t="s">
        <v>250</v>
      </c>
      <c r="C23" t="s">
        <v>251</v>
      </c>
    </row>
    <row r="24" spans="1:8" x14ac:dyDescent="0.45">
      <c r="A24" s="24" t="s">
        <v>252</v>
      </c>
      <c r="B24" s="14" t="s">
        <v>253</v>
      </c>
    </row>
    <row r="26" spans="1:8" ht="17.649999999999999" x14ac:dyDescent="0.5">
      <c r="A26" s="26" t="s">
        <v>254</v>
      </c>
    </row>
    <row r="27" spans="1:8" x14ac:dyDescent="0.45">
      <c r="A27" s="24" t="s">
        <v>254</v>
      </c>
      <c r="B27" s="14" t="s">
        <v>255</v>
      </c>
      <c r="C27" s="14" t="s">
        <v>256</v>
      </c>
    </row>
    <row r="28" spans="1:8" x14ac:dyDescent="0.45">
      <c r="A28" s="24" t="s">
        <v>257</v>
      </c>
      <c r="B28" s="14" t="s">
        <v>258</v>
      </c>
      <c r="C28" s="14" t="s">
        <v>259</v>
      </c>
    </row>
    <row r="29" spans="1:8" x14ac:dyDescent="0.45">
      <c r="A29" s="24" t="s">
        <v>190</v>
      </c>
      <c r="B29" s="19">
        <v>0.66159999999999997</v>
      </c>
    </row>
    <row r="30" spans="1:8" x14ac:dyDescent="0.45">
      <c r="A30" s="24" t="s">
        <v>191</v>
      </c>
      <c r="B30" s="19">
        <v>-4.48E-2</v>
      </c>
    </row>
    <row r="32" spans="1:8" ht="17.649999999999999" x14ac:dyDescent="0.5">
      <c r="A32" s="26" t="s">
        <v>260</v>
      </c>
    </row>
    <row r="33" spans="1:3" x14ac:dyDescent="0.45">
      <c r="A33" s="24" t="s">
        <v>261</v>
      </c>
      <c r="B33" s="19">
        <v>0.46600000000000003</v>
      </c>
    </row>
    <row r="34" spans="1:3" x14ac:dyDescent="0.45">
      <c r="A34" s="24" t="s">
        <v>262</v>
      </c>
      <c r="B34" s="14" t="s">
        <v>263</v>
      </c>
      <c r="C34" s="14" t="s">
        <v>264</v>
      </c>
    </row>
    <row r="35" spans="1:3" x14ac:dyDescent="0.45">
      <c r="A35" s="24" t="s">
        <v>265</v>
      </c>
      <c r="B35" s="14" t="s">
        <v>60</v>
      </c>
      <c r="C35" s="14" t="s">
        <v>274</v>
      </c>
    </row>
    <row r="37" spans="1:3" ht="17.649999999999999" x14ac:dyDescent="0.5">
      <c r="A37" s="26" t="s">
        <v>266</v>
      </c>
    </row>
    <row r="38" spans="1:3" x14ac:dyDescent="0.45">
      <c r="A38" s="24" t="s">
        <v>267</v>
      </c>
    </row>
    <row r="40" spans="1:3" ht="17.649999999999999" x14ac:dyDescent="0.5">
      <c r="A40" s="26" t="s">
        <v>268</v>
      </c>
    </row>
    <row r="41" spans="1:3" x14ac:dyDescent="0.45">
      <c r="A41" s="24" t="s">
        <v>269</v>
      </c>
    </row>
    <row r="42" spans="1:3" x14ac:dyDescent="0.45">
      <c r="A42" s="24" t="s">
        <v>270</v>
      </c>
    </row>
    <row r="43" spans="1:3" x14ac:dyDescent="0.45">
      <c r="A43" s="24" t="s">
        <v>271</v>
      </c>
    </row>
    <row r="44" spans="1:3" x14ac:dyDescent="0.45">
      <c r="A44" s="24" t="s">
        <v>272</v>
      </c>
    </row>
    <row r="45" spans="1:3" x14ac:dyDescent="0.45">
      <c r="A45" s="24" t="s">
        <v>273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0626-1885-4380-9941-F07C0EB88B8F}">
  <dimension ref="A1:C250"/>
  <sheetViews>
    <sheetView topLeftCell="A130" zoomScale="85" zoomScaleNormal="85" workbookViewId="0">
      <selection activeCell="A124" sqref="A124"/>
    </sheetView>
  </sheetViews>
  <sheetFormatPr defaultRowHeight="14.25" x14ac:dyDescent="0.45"/>
  <cols>
    <col min="1" max="1" width="33.53125" bestFit="1" customWidth="1"/>
    <col min="2" max="2" width="11.33203125" bestFit="1" customWidth="1"/>
    <col min="3" max="3" width="7.53125" bestFit="1" customWidth="1"/>
  </cols>
  <sheetData>
    <row r="1" spans="1:3" x14ac:dyDescent="0.45">
      <c r="A1" t="s">
        <v>53</v>
      </c>
      <c r="B1" t="s">
        <v>62</v>
      </c>
      <c r="C1" t="s">
        <v>63</v>
      </c>
    </row>
    <row r="2" spans="1:3" x14ac:dyDescent="0.45">
      <c r="A2" t="s">
        <v>48</v>
      </c>
      <c r="B2" t="s">
        <v>54</v>
      </c>
      <c r="C2">
        <v>11663</v>
      </c>
    </row>
    <row r="3" spans="1:3" x14ac:dyDescent="0.45">
      <c r="A3" t="s">
        <v>41</v>
      </c>
      <c r="B3" t="s">
        <v>54</v>
      </c>
      <c r="C3">
        <v>5841</v>
      </c>
    </row>
    <row r="4" spans="1:3" x14ac:dyDescent="0.45">
      <c r="A4" t="s">
        <v>37</v>
      </c>
      <c r="B4" t="s">
        <v>54</v>
      </c>
      <c r="C4">
        <v>979</v>
      </c>
    </row>
    <row r="5" spans="1:3" x14ac:dyDescent="0.45">
      <c r="A5" t="s">
        <v>46</v>
      </c>
      <c r="B5" t="s">
        <v>54</v>
      </c>
      <c r="C5">
        <v>18483</v>
      </c>
    </row>
    <row r="6" spans="1:3" x14ac:dyDescent="0.45">
      <c r="A6" t="s">
        <v>6</v>
      </c>
      <c r="B6" t="s">
        <v>54</v>
      </c>
      <c r="C6">
        <v>-9500</v>
      </c>
    </row>
    <row r="7" spans="1:3" x14ac:dyDescent="0.45">
      <c r="A7" t="s">
        <v>19</v>
      </c>
      <c r="B7" t="s">
        <v>54</v>
      </c>
      <c r="C7">
        <v>8983</v>
      </c>
    </row>
    <row r="8" spans="1:3" x14ac:dyDescent="0.45">
      <c r="A8" t="s">
        <v>23</v>
      </c>
      <c r="B8" t="s">
        <v>54</v>
      </c>
      <c r="C8">
        <v>0.48599999999999999</v>
      </c>
    </row>
    <row r="9" spans="1:3" x14ac:dyDescent="0.45">
      <c r="A9" t="s">
        <v>44</v>
      </c>
      <c r="B9" t="s">
        <v>54</v>
      </c>
      <c r="C9">
        <v>108</v>
      </c>
    </row>
    <row r="10" spans="1:3" x14ac:dyDescent="0.45">
      <c r="A10" t="s">
        <v>39</v>
      </c>
      <c r="B10" t="s">
        <v>54</v>
      </c>
      <c r="C10">
        <v>60</v>
      </c>
    </row>
    <row r="11" spans="1:3" x14ac:dyDescent="0.45">
      <c r="A11" t="s">
        <v>28</v>
      </c>
      <c r="B11" t="s">
        <v>54</v>
      </c>
      <c r="C11">
        <v>-2532</v>
      </c>
    </row>
    <row r="12" spans="1:3" x14ac:dyDescent="0.45">
      <c r="A12" t="s">
        <v>10</v>
      </c>
      <c r="B12" t="s">
        <v>54</v>
      </c>
      <c r="C12">
        <v>-4029</v>
      </c>
    </row>
    <row r="13" spans="1:3" x14ac:dyDescent="0.45">
      <c r="A13" t="s">
        <v>21</v>
      </c>
      <c r="B13" t="s">
        <v>54</v>
      </c>
      <c r="C13">
        <v>-998</v>
      </c>
    </row>
    <row r="14" spans="1:3" x14ac:dyDescent="0.45">
      <c r="A14" t="s">
        <v>45</v>
      </c>
      <c r="B14" t="s">
        <v>54</v>
      </c>
      <c r="C14">
        <v>-185</v>
      </c>
    </row>
    <row r="15" spans="1:3" x14ac:dyDescent="0.45">
      <c r="A15" t="s">
        <v>47</v>
      </c>
      <c r="B15" t="s">
        <v>54</v>
      </c>
      <c r="C15">
        <v>-7744</v>
      </c>
    </row>
    <row r="16" spans="1:3" x14ac:dyDescent="0.45">
      <c r="A16" t="s">
        <v>34</v>
      </c>
      <c r="B16" t="s">
        <v>54</v>
      </c>
      <c r="C16">
        <v>1407</v>
      </c>
    </row>
    <row r="17" spans="1:3" x14ac:dyDescent="0.45">
      <c r="A17" t="s">
        <v>36</v>
      </c>
      <c r="B17" t="s">
        <v>54</v>
      </c>
      <c r="C17">
        <v>7.5999999999999998E-2</v>
      </c>
    </row>
    <row r="18" spans="1:3" x14ac:dyDescent="0.45">
      <c r="A18" t="s">
        <v>17</v>
      </c>
      <c r="B18" t="s">
        <v>54</v>
      </c>
      <c r="C18">
        <v>20</v>
      </c>
    </row>
    <row r="19" spans="1:3" x14ac:dyDescent="0.45">
      <c r="A19" t="s">
        <v>16</v>
      </c>
      <c r="B19" t="s">
        <v>54</v>
      </c>
      <c r="C19">
        <v>-74</v>
      </c>
    </row>
    <row r="20" spans="1:3" x14ac:dyDescent="0.45">
      <c r="A20" t="s">
        <v>25</v>
      </c>
      <c r="B20" t="s">
        <v>54</v>
      </c>
      <c r="C20">
        <v>1353</v>
      </c>
    </row>
    <row r="21" spans="1:3" x14ac:dyDescent="0.45">
      <c r="A21" t="s">
        <v>26</v>
      </c>
      <c r="B21" t="s">
        <v>54</v>
      </c>
      <c r="C21">
        <v>-392</v>
      </c>
    </row>
    <row r="22" spans="1:3" x14ac:dyDescent="0.45">
      <c r="A22" t="s">
        <v>13</v>
      </c>
      <c r="B22" t="s">
        <v>54</v>
      </c>
      <c r="C22">
        <v>0.28999999999999998</v>
      </c>
    </row>
    <row r="23" spans="1:3" x14ac:dyDescent="0.45">
      <c r="A23" t="s">
        <v>32</v>
      </c>
      <c r="B23" t="s">
        <v>54</v>
      </c>
      <c r="C23">
        <v>961</v>
      </c>
    </row>
    <row r="24" spans="1:3" x14ac:dyDescent="0.45">
      <c r="A24" t="s">
        <v>31</v>
      </c>
      <c r="B24" t="s">
        <v>54</v>
      </c>
      <c r="C24">
        <v>961</v>
      </c>
    </row>
    <row r="25" spans="1:3" x14ac:dyDescent="0.45">
      <c r="A25" t="s">
        <v>27</v>
      </c>
      <c r="B25" t="s">
        <v>54</v>
      </c>
      <c r="C25">
        <v>-12</v>
      </c>
    </row>
    <row r="26" spans="1:3" x14ac:dyDescent="0.45">
      <c r="A26" t="s">
        <v>29</v>
      </c>
      <c r="B26" t="s">
        <v>54</v>
      </c>
      <c r="C26">
        <v>949</v>
      </c>
    </row>
    <row r="27" spans="1:3" x14ac:dyDescent="0.45">
      <c r="A27" t="s">
        <v>3</v>
      </c>
      <c r="B27" t="s">
        <v>54</v>
      </c>
      <c r="C27">
        <v>4.72</v>
      </c>
    </row>
    <row r="28" spans="1:3" x14ac:dyDescent="0.45">
      <c r="A28" t="s">
        <v>9</v>
      </c>
      <c r="B28" t="s">
        <v>54</v>
      </c>
      <c r="C28">
        <v>4.7</v>
      </c>
    </row>
    <row r="29" spans="1:3" x14ac:dyDescent="0.45">
      <c r="A29" t="s">
        <v>49</v>
      </c>
      <c r="B29" t="s">
        <v>54</v>
      </c>
      <c r="C29">
        <v>201</v>
      </c>
    </row>
    <row r="30" spans="1:3" x14ac:dyDescent="0.45">
      <c r="A30" t="s">
        <v>52</v>
      </c>
      <c r="B30" t="s">
        <v>54</v>
      </c>
      <c r="C30">
        <v>201.8</v>
      </c>
    </row>
    <row r="31" spans="1:3" x14ac:dyDescent="0.45">
      <c r="A31" t="s">
        <v>12</v>
      </c>
      <c r="B31" t="s">
        <v>54</v>
      </c>
      <c r="C31">
        <v>2</v>
      </c>
    </row>
    <row r="32" spans="1:3" x14ac:dyDescent="0.45">
      <c r="A32" t="s">
        <v>48</v>
      </c>
      <c r="B32" t="s">
        <v>55</v>
      </c>
      <c r="C32">
        <v>12943</v>
      </c>
    </row>
    <row r="33" spans="1:3" x14ac:dyDescent="0.45">
      <c r="A33" t="s">
        <v>41</v>
      </c>
      <c r="B33" t="s">
        <v>55</v>
      </c>
      <c r="C33">
        <v>7172</v>
      </c>
    </row>
    <row r="34" spans="1:3" x14ac:dyDescent="0.45">
      <c r="A34" t="s">
        <v>37</v>
      </c>
      <c r="B34" t="s">
        <v>55</v>
      </c>
      <c r="C34">
        <v>1103</v>
      </c>
    </row>
    <row r="35" spans="1:3" x14ac:dyDescent="0.45">
      <c r="A35" t="s">
        <v>46</v>
      </c>
      <c r="B35" t="s">
        <v>55</v>
      </c>
      <c r="C35">
        <v>21218</v>
      </c>
    </row>
    <row r="36" spans="1:3" x14ac:dyDescent="0.45">
      <c r="A36" t="s">
        <v>42</v>
      </c>
      <c r="B36" t="s">
        <v>55</v>
      </c>
      <c r="C36">
        <v>0.14800000000000002</v>
      </c>
    </row>
    <row r="37" spans="1:3" x14ac:dyDescent="0.45">
      <c r="A37" t="s">
        <v>6</v>
      </c>
      <c r="B37" t="s">
        <v>55</v>
      </c>
      <c r="C37">
        <v>-10524</v>
      </c>
    </row>
    <row r="38" spans="1:3" x14ac:dyDescent="0.45">
      <c r="A38" t="s">
        <v>19</v>
      </c>
      <c r="B38" t="s">
        <v>55</v>
      </c>
      <c r="C38">
        <v>10694</v>
      </c>
    </row>
    <row r="39" spans="1:3" x14ac:dyDescent="0.45">
      <c r="A39" t="s">
        <v>23</v>
      </c>
      <c r="B39" t="s">
        <v>55</v>
      </c>
      <c r="C39">
        <v>0.504</v>
      </c>
    </row>
    <row r="40" spans="1:3" x14ac:dyDescent="0.45">
      <c r="A40" t="s">
        <v>44</v>
      </c>
      <c r="B40" t="s">
        <v>55</v>
      </c>
      <c r="C40">
        <v>115</v>
      </c>
    </row>
    <row r="41" spans="1:3" x14ac:dyDescent="0.45">
      <c r="A41" t="s">
        <v>39</v>
      </c>
      <c r="B41" t="s">
        <v>55</v>
      </c>
      <c r="C41">
        <v>66</v>
      </c>
    </row>
    <row r="42" spans="1:3" x14ac:dyDescent="0.45">
      <c r="A42" t="s">
        <v>28</v>
      </c>
      <c r="B42" t="s">
        <v>55</v>
      </c>
      <c r="C42">
        <v>-2843</v>
      </c>
    </row>
    <row r="43" spans="1:3" x14ac:dyDescent="0.45">
      <c r="A43" t="s">
        <v>10</v>
      </c>
      <c r="B43" t="s">
        <v>55</v>
      </c>
      <c r="C43">
        <v>-4710</v>
      </c>
    </row>
    <row r="44" spans="1:3" x14ac:dyDescent="0.45">
      <c r="A44" t="s">
        <v>21</v>
      </c>
      <c r="B44" t="s">
        <v>55</v>
      </c>
      <c r="C44">
        <v>-1125</v>
      </c>
    </row>
    <row r="45" spans="1:3" x14ac:dyDescent="0.45">
      <c r="A45" t="s">
        <v>45</v>
      </c>
      <c r="B45" t="s">
        <v>55</v>
      </c>
      <c r="C45">
        <v>-212</v>
      </c>
    </row>
    <row r="46" spans="1:3" x14ac:dyDescent="0.45">
      <c r="A46" t="s">
        <v>47</v>
      </c>
      <c r="B46" t="s">
        <v>55</v>
      </c>
      <c r="C46">
        <v>-8890</v>
      </c>
    </row>
    <row r="47" spans="1:3" x14ac:dyDescent="0.45">
      <c r="A47" t="s">
        <v>34</v>
      </c>
      <c r="B47" t="s">
        <v>55</v>
      </c>
      <c r="C47">
        <v>1985</v>
      </c>
    </row>
    <row r="48" spans="1:3" x14ac:dyDescent="0.45">
      <c r="A48" t="s">
        <v>36</v>
      </c>
      <c r="B48" t="s">
        <v>55</v>
      </c>
      <c r="C48">
        <v>9.4E-2</v>
      </c>
    </row>
    <row r="49" spans="1:3" x14ac:dyDescent="0.45">
      <c r="A49" t="s">
        <v>17</v>
      </c>
      <c r="B49" t="s">
        <v>55</v>
      </c>
      <c r="C49">
        <v>24</v>
      </c>
    </row>
    <row r="50" spans="1:3" x14ac:dyDescent="0.45">
      <c r="A50" t="s">
        <v>16</v>
      </c>
      <c r="B50" t="s">
        <v>55</v>
      </c>
      <c r="C50">
        <v>-82</v>
      </c>
    </row>
    <row r="51" spans="1:3" x14ac:dyDescent="0.45">
      <c r="A51" t="s">
        <v>25</v>
      </c>
      <c r="B51" t="s">
        <v>55</v>
      </c>
      <c r="C51">
        <v>1927</v>
      </c>
    </row>
    <row r="52" spans="1:3" x14ac:dyDescent="0.45">
      <c r="A52" t="s">
        <v>26</v>
      </c>
      <c r="B52" t="s">
        <v>55</v>
      </c>
      <c r="C52">
        <v>-540</v>
      </c>
    </row>
    <row r="53" spans="1:3" x14ac:dyDescent="0.45">
      <c r="A53" t="s">
        <v>13</v>
      </c>
      <c r="B53" t="s">
        <v>55</v>
      </c>
      <c r="C53">
        <v>0.28000000000000003</v>
      </c>
    </row>
    <row r="54" spans="1:3" x14ac:dyDescent="0.45">
      <c r="A54" t="s">
        <v>32</v>
      </c>
      <c r="B54" t="s">
        <v>55</v>
      </c>
      <c r="C54">
        <v>1387</v>
      </c>
    </row>
    <row r="55" spans="1:3" x14ac:dyDescent="0.45">
      <c r="A55" t="s">
        <v>31</v>
      </c>
      <c r="B55" t="s">
        <v>55</v>
      </c>
      <c r="C55">
        <v>1387</v>
      </c>
    </row>
    <row r="56" spans="1:3" x14ac:dyDescent="0.45">
      <c r="A56" t="s">
        <v>27</v>
      </c>
      <c r="B56" t="s">
        <v>55</v>
      </c>
      <c r="C56">
        <v>-14</v>
      </c>
    </row>
    <row r="57" spans="1:3" x14ac:dyDescent="0.45">
      <c r="A57" t="s">
        <v>29</v>
      </c>
      <c r="B57" t="s">
        <v>55</v>
      </c>
      <c r="C57">
        <v>1373</v>
      </c>
    </row>
    <row r="58" spans="1:3" x14ac:dyDescent="0.45">
      <c r="A58" t="s">
        <v>3</v>
      </c>
      <c r="B58" t="s">
        <v>55</v>
      </c>
      <c r="C58">
        <v>6.78</v>
      </c>
    </row>
    <row r="59" spans="1:3" x14ac:dyDescent="0.45">
      <c r="A59" t="s">
        <v>9</v>
      </c>
      <c r="B59" t="s">
        <v>55</v>
      </c>
      <c r="C59">
        <v>6.75</v>
      </c>
    </row>
    <row r="60" spans="1:3" x14ac:dyDescent="0.45">
      <c r="A60" t="s">
        <v>49</v>
      </c>
      <c r="B60" t="s">
        <v>55</v>
      </c>
      <c r="C60">
        <v>202.5</v>
      </c>
    </row>
    <row r="61" spans="1:3" x14ac:dyDescent="0.45">
      <c r="A61" t="s">
        <v>52</v>
      </c>
      <c r="B61" t="s">
        <v>55</v>
      </c>
      <c r="C61">
        <v>203.3</v>
      </c>
    </row>
    <row r="62" spans="1:3" x14ac:dyDescent="0.45">
      <c r="A62" t="s">
        <v>12</v>
      </c>
      <c r="B62" t="s">
        <v>55</v>
      </c>
      <c r="C62">
        <v>2.6</v>
      </c>
    </row>
    <row r="63" spans="1:3" x14ac:dyDescent="0.45">
      <c r="A63" t="s">
        <v>48</v>
      </c>
      <c r="B63" t="s">
        <v>56</v>
      </c>
      <c r="C63">
        <v>12733</v>
      </c>
    </row>
    <row r="64" spans="1:3" x14ac:dyDescent="0.45">
      <c r="A64" t="s">
        <v>41</v>
      </c>
      <c r="B64" t="s">
        <v>56</v>
      </c>
      <c r="C64">
        <v>8196</v>
      </c>
    </row>
    <row r="65" spans="1:3" x14ac:dyDescent="0.45">
      <c r="A65" t="s">
        <v>37</v>
      </c>
      <c r="B65" t="s">
        <v>56</v>
      </c>
      <c r="C65">
        <v>986</v>
      </c>
    </row>
    <row r="66" spans="1:3" x14ac:dyDescent="0.45">
      <c r="A66" t="s">
        <v>46</v>
      </c>
      <c r="B66" t="s">
        <v>56</v>
      </c>
      <c r="C66">
        <v>21915</v>
      </c>
    </row>
    <row r="67" spans="1:3" x14ac:dyDescent="0.45">
      <c r="A67" t="s">
        <v>42</v>
      </c>
      <c r="B67" t="s">
        <v>56</v>
      </c>
      <c r="C67">
        <v>3.3000000000000002E-2</v>
      </c>
    </row>
    <row r="68" spans="1:3" x14ac:dyDescent="0.45">
      <c r="A68" t="s">
        <v>6</v>
      </c>
      <c r="B68" t="s">
        <v>56</v>
      </c>
      <c r="C68">
        <v>-10607</v>
      </c>
    </row>
    <row r="69" spans="1:3" x14ac:dyDescent="0.45">
      <c r="A69" t="s">
        <v>19</v>
      </c>
      <c r="B69" t="s">
        <v>56</v>
      </c>
      <c r="C69">
        <v>11308</v>
      </c>
    </row>
    <row r="70" spans="1:3" x14ac:dyDescent="0.45">
      <c r="A70" t="s">
        <v>23</v>
      </c>
      <c r="B70" t="s">
        <v>56</v>
      </c>
      <c r="C70">
        <v>0.51600000000000001</v>
      </c>
    </row>
    <row r="71" spans="1:3" x14ac:dyDescent="0.45">
      <c r="A71" t="s">
        <v>44</v>
      </c>
      <c r="B71" t="s">
        <v>56</v>
      </c>
      <c r="C71">
        <v>121</v>
      </c>
    </row>
    <row r="72" spans="1:3" x14ac:dyDescent="0.45">
      <c r="A72" t="s">
        <v>39</v>
      </c>
      <c r="B72" t="s">
        <v>56</v>
      </c>
      <c r="C72">
        <v>71</v>
      </c>
    </row>
    <row r="73" spans="1:3" x14ac:dyDescent="0.45">
      <c r="A73" t="s">
        <v>28</v>
      </c>
      <c r="B73" t="s">
        <v>56</v>
      </c>
      <c r="C73">
        <v>-2871</v>
      </c>
    </row>
    <row r="74" spans="1:3" x14ac:dyDescent="0.45">
      <c r="A74" t="s">
        <v>10</v>
      </c>
      <c r="B74" t="s">
        <v>56</v>
      </c>
      <c r="C74">
        <v>-4909</v>
      </c>
    </row>
    <row r="75" spans="1:3" x14ac:dyDescent="0.45">
      <c r="A75" t="s">
        <v>21</v>
      </c>
      <c r="B75" t="s">
        <v>56</v>
      </c>
      <c r="C75">
        <v>-1140</v>
      </c>
    </row>
    <row r="76" spans="1:3" x14ac:dyDescent="0.45">
      <c r="A76" t="s">
        <v>45</v>
      </c>
      <c r="B76" t="s">
        <v>56</v>
      </c>
      <c r="C76">
        <v>-219</v>
      </c>
    </row>
    <row r="77" spans="1:3" x14ac:dyDescent="0.45">
      <c r="A77" t="s">
        <v>47</v>
      </c>
      <c r="B77" t="s">
        <v>56</v>
      </c>
      <c r="C77">
        <v>-9139</v>
      </c>
    </row>
    <row r="78" spans="1:3" x14ac:dyDescent="0.45">
      <c r="A78" t="s">
        <v>34</v>
      </c>
      <c r="B78" t="s">
        <v>56</v>
      </c>
      <c r="C78">
        <v>2361</v>
      </c>
    </row>
    <row r="79" spans="1:3" x14ac:dyDescent="0.45">
      <c r="A79" t="s">
        <v>36</v>
      </c>
      <c r="B79" t="s">
        <v>56</v>
      </c>
      <c r="C79">
        <v>0.10800000000000001</v>
      </c>
    </row>
    <row r="80" spans="1:3" x14ac:dyDescent="0.45">
      <c r="A80" t="s">
        <v>17</v>
      </c>
      <c r="B80" t="s">
        <v>56</v>
      </c>
      <c r="C80">
        <v>28</v>
      </c>
    </row>
    <row r="81" spans="1:3" x14ac:dyDescent="0.45">
      <c r="A81" t="s">
        <v>16</v>
      </c>
      <c r="B81" t="s">
        <v>56</v>
      </c>
      <c r="C81">
        <v>-91</v>
      </c>
    </row>
    <row r="82" spans="1:3" x14ac:dyDescent="0.45">
      <c r="A82" t="s">
        <v>25</v>
      </c>
      <c r="B82" t="s">
        <v>56</v>
      </c>
      <c r="C82">
        <v>2298</v>
      </c>
    </row>
    <row r="83" spans="1:3" x14ac:dyDescent="0.45">
      <c r="A83" t="s">
        <v>26</v>
      </c>
      <c r="B83" t="s">
        <v>56</v>
      </c>
      <c r="C83">
        <v>-597</v>
      </c>
    </row>
    <row r="84" spans="1:3" x14ac:dyDescent="0.45">
      <c r="A84" t="s">
        <v>13</v>
      </c>
      <c r="B84" t="s">
        <v>56</v>
      </c>
      <c r="C84">
        <v>0.26</v>
      </c>
    </row>
    <row r="85" spans="1:3" x14ac:dyDescent="0.45">
      <c r="A85" t="s">
        <v>32</v>
      </c>
      <c r="B85" t="s">
        <v>56</v>
      </c>
      <c r="C85">
        <v>1701</v>
      </c>
    </row>
    <row r="86" spans="1:3" x14ac:dyDescent="0.45">
      <c r="A86" t="s">
        <v>31</v>
      </c>
      <c r="B86" t="s">
        <v>56</v>
      </c>
      <c r="C86">
        <v>1701</v>
      </c>
    </row>
    <row r="87" spans="1:3" x14ac:dyDescent="0.45">
      <c r="A87" t="s">
        <v>27</v>
      </c>
      <c r="B87" t="s">
        <v>56</v>
      </c>
      <c r="C87">
        <v>-11</v>
      </c>
    </row>
    <row r="88" spans="1:3" x14ac:dyDescent="0.45">
      <c r="A88" t="s">
        <v>29</v>
      </c>
      <c r="B88" t="s">
        <v>56</v>
      </c>
      <c r="C88">
        <v>1690</v>
      </c>
    </row>
    <row r="89" spans="1:3" x14ac:dyDescent="0.45">
      <c r="A89" t="s">
        <v>3</v>
      </c>
      <c r="B89" t="s">
        <v>56</v>
      </c>
      <c r="C89">
        <v>8.4499999999999993</v>
      </c>
    </row>
    <row r="90" spans="1:3" x14ac:dyDescent="0.45">
      <c r="A90" t="s">
        <v>9</v>
      </c>
      <c r="B90" t="s">
        <v>56</v>
      </c>
      <c r="C90">
        <v>8.42</v>
      </c>
    </row>
    <row r="91" spans="1:3" x14ac:dyDescent="0.45">
      <c r="A91" t="s">
        <v>49</v>
      </c>
      <c r="B91" t="s">
        <v>56</v>
      </c>
      <c r="C91">
        <v>200</v>
      </c>
    </row>
    <row r="92" spans="1:3" x14ac:dyDescent="0.45">
      <c r="A92" t="s">
        <v>52</v>
      </c>
      <c r="B92" t="s">
        <v>56</v>
      </c>
      <c r="C92">
        <v>200.8</v>
      </c>
    </row>
    <row r="93" spans="1:3" x14ac:dyDescent="0.45">
      <c r="A93" t="s">
        <v>12</v>
      </c>
      <c r="B93" t="s">
        <v>56</v>
      </c>
      <c r="C93">
        <v>3.35</v>
      </c>
    </row>
    <row r="94" spans="1:3" x14ac:dyDescent="0.45">
      <c r="A94" t="s">
        <v>48</v>
      </c>
      <c r="B94" t="s">
        <v>57</v>
      </c>
      <c r="C94">
        <v>13191</v>
      </c>
    </row>
    <row r="95" spans="1:3" x14ac:dyDescent="0.45">
      <c r="A95" t="s">
        <v>41</v>
      </c>
      <c r="B95" t="s">
        <v>57</v>
      </c>
      <c r="C95">
        <v>9480</v>
      </c>
    </row>
    <row r="96" spans="1:3" x14ac:dyDescent="0.45">
      <c r="A96" t="s">
        <v>37</v>
      </c>
      <c r="B96" t="s">
        <v>57</v>
      </c>
      <c r="C96">
        <v>969</v>
      </c>
    </row>
    <row r="97" spans="1:3" x14ac:dyDescent="0.45">
      <c r="A97" t="s">
        <v>46</v>
      </c>
      <c r="B97" t="s">
        <v>57</v>
      </c>
      <c r="C97">
        <v>23640</v>
      </c>
    </row>
    <row r="98" spans="1:3" x14ac:dyDescent="0.45">
      <c r="A98" t="s">
        <v>42</v>
      </c>
      <c r="B98" t="s">
        <v>57</v>
      </c>
      <c r="C98">
        <v>7.9000000000000001E-2</v>
      </c>
    </row>
    <row r="99" spans="1:3" x14ac:dyDescent="0.45">
      <c r="A99" t="s">
        <v>6</v>
      </c>
      <c r="B99" t="s">
        <v>57</v>
      </c>
      <c r="C99">
        <v>-11347</v>
      </c>
    </row>
    <row r="100" spans="1:3" x14ac:dyDescent="0.45">
      <c r="A100" t="s">
        <v>19</v>
      </c>
      <c r="B100" t="s">
        <v>57</v>
      </c>
      <c r="C100">
        <v>12293</v>
      </c>
    </row>
    <row r="101" spans="1:3" x14ac:dyDescent="0.45">
      <c r="A101" t="s">
        <v>23</v>
      </c>
      <c r="B101" t="s">
        <v>57</v>
      </c>
      <c r="C101">
        <v>0.52</v>
      </c>
    </row>
    <row r="102" spans="1:3" x14ac:dyDescent="0.45">
      <c r="A102" t="s">
        <v>44</v>
      </c>
      <c r="B102" t="s">
        <v>57</v>
      </c>
      <c r="C102">
        <v>130</v>
      </c>
    </row>
    <row r="103" spans="1:3" x14ac:dyDescent="0.45">
      <c r="A103" t="s">
        <v>39</v>
      </c>
      <c r="B103" t="s">
        <v>57</v>
      </c>
      <c r="C103">
        <v>78</v>
      </c>
    </row>
    <row r="104" spans="1:3" x14ac:dyDescent="0.45">
      <c r="A104" t="s">
        <v>28</v>
      </c>
      <c r="B104" t="s">
        <v>57</v>
      </c>
      <c r="C104">
        <v>-3026</v>
      </c>
    </row>
    <row r="105" spans="1:3" x14ac:dyDescent="0.45">
      <c r="A105" t="s">
        <v>10</v>
      </c>
      <c r="B105" t="s">
        <v>57</v>
      </c>
      <c r="C105">
        <v>-5272</v>
      </c>
    </row>
    <row r="106" spans="1:3" x14ac:dyDescent="0.45">
      <c r="A106" t="s">
        <v>21</v>
      </c>
      <c r="B106" t="s">
        <v>57</v>
      </c>
      <c r="C106">
        <v>-1347</v>
      </c>
    </row>
    <row r="107" spans="1:3" x14ac:dyDescent="0.45">
      <c r="A107" t="s">
        <v>45</v>
      </c>
      <c r="B107" t="s">
        <v>57</v>
      </c>
      <c r="C107">
        <v>-236</v>
      </c>
    </row>
    <row r="108" spans="1:3" x14ac:dyDescent="0.45">
      <c r="A108" t="s">
        <v>47</v>
      </c>
      <c r="B108" t="s">
        <v>57</v>
      </c>
      <c r="C108">
        <v>-9881</v>
      </c>
    </row>
    <row r="109" spans="1:3" x14ac:dyDescent="0.45">
      <c r="A109" t="s">
        <v>34</v>
      </c>
      <c r="B109" t="s">
        <v>57</v>
      </c>
      <c r="C109">
        <v>2620</v>
      </c>
    </row>
    <row r="110" spans="1:3" x14ac:dyDescent="0.45">
      <c r="A110" t="s">
        <v>36</v>
      </c>
      <c r="B110" t="s">
        <v>57</v>
      </c>
      <c r="C110">
        <v>0.111</v>
      </c>
    </row>
    <row r="111" spans="1:3" x14ac:dyDescent="0.45">
      <c r="A111" t="s">
        <v>17</v>
      </c>
      <c r="B111" t="s">
        <v>57</v>
      </c>
      <c r="C111">
        <v>32</v>
      </c>
    </row>
    <row r="112" spans="1:3" x14ac:dyDescent="0.45">
      <c r="A112" t="s">
        <v>16</v>
      </c>
      <c r="B112" t="s">
        <v>57</v>
      </c>
      <c r="C112">
        <v>-166</v>
      </c>
    </row>
    <row r="113" spans="1:3" x14ac:dyDescent="0.45">
      <c r="A113" t="s">
        <v>25</v>
      </c>
      <c r="B113" t="s">
        <v>57</v>
      </c>
      <c r="C113">
        <v>2486</v>
      </c>
    </row>
    <row r="114" spans="1:3" x14ac:dyDescent="0.45">
      <c r="A114" t="s">
        <v>26</v>
      </c>
      <c r="B114" t="s">
        <v>57</v>
      </c>
      <c r="C114">
        <v>-622</v>
      </c>
    </row>
    <row r="115" spans="1:3" x14ac:dyDescent="0.45">
      <c r="A115" t="s">
        <v>13</v>
      </c>
      <c r="B115" t="s">
        <v>57</v>
      </c>
      <c r="C115">
        <v>0.25</v>
      </c>
    </row>
    <row r="116" spans="1:3" x14ac:dyDescent="0.45">
      <c r="A116" t="s">
        <v>32</v>
      </c>
      <c r="B116" t="s">
        <v>57</v>
      </c>
      <c r="C116">
        <v>1864</v>
      </c>
    </row>
    <row r="117" spans="1:3" x14ac:dyDescent="0.45">
      <c r="A117" t="s">
        <v>31</v>
      </c>
      <c r="B117" t="s">
        <v>57</v>
      </c>
      <c r="C117">
        <v>1864</v>
      </c>
    </row>
    <row r="118" spans="1:3" x14ac:dyDescent="0.45">
      <c r="A118" t="s">
        <v>27</v>
      </c>
      <c r="B118" t="s">
        <v>57</v>
      </c>
      <c r="C118">
        <v>-9</v>
      </c>
    </row>
    <row r="119" spans="1:3" x14ac:dyDescent="0.45">
      <c r="A119" t="s">
        <v>29</v>
      </c>
      <c r="B119" t="s">
        <v>57</v>
      </c>
      <c r="C119">
        <v>1855</v>
      </c>
    </row>
    <row r="120" spans="1:3" x14ac:dyDescent="0.45">
      <c r="A120" t="s">
        <v>3</v>
      </c>
      <c r="B120" t="s">
        <v>57</v>
      </c>
      <c r="C120">
        <v>9.48</v>
      </c>
    </row>
    <row r="121" spans="1:3" x14ac:dyDescent="0.45">
      <c r="A121" t="s">
        <v>9</v>
      </c>
      <c r="B121" t="s">
        <v>57</v>
      </c>
      <c r="C121">
        <v>9.44</v>
      </c>
    </row>
    <row r="122" spans="1:3" x14ac:dyDescent="0.45">
      <c r="A122" t="s">
        <v>49</v>
      </c>
      <c r="B122" t="s">
        <v>57</v>
      </c>
      <c r="C122">
        <v>195.7</v>
      </c>
    </row>
    <row r="123" spans="1:3" x14ac:dyDescent="0.45">
      <c r="A123" t="s">
        <v>52</v>
      </c>
      <c r="B123" t="s">
        <v>57</v>
      </c>
      <c r="C123">
        <v>196.5</v>
      </c>
    </row>
    <row r="124" spans="1:3" x14ac:dyDescent="0.45">
      <c r="A124" t="s">
        <v>12</v>
      </c>
      <c r="B124" t="s">
        <v>57</v>
      </c>
      <c r="C124">
        <v>3.85</v>
      </c>
    </row>
    <row r="125" spans="1:3" x14ac:dyDescent="0.45">
      <c r="A125" t="s">
        <v>48</v>
      </c>
      <c r="B125" t="s">
        <v>58</v>
      </c>
      <c r="C125">
        <v>10160</v>
      </c>
    </row>
    <row r="126" spans="1:3" x14ac:dyDescent="0.45">
      <c r="A126" t="s">
        <v>41</v>
      </c>
      <c r="B126" t="s">
        <v>58</v>
      </c>
      <c r="C126">
        <v>8970</v>
      </c>
    </row>
    <row r="127" spans="1:3" x14ac:dyDescent="0.45">
      <c r="A127" t="s">
        <v>37</v>
      </c>
      <c r="B127" t="s">
        <v>58</v>
      </c>
      <c r="C127">
        <v>714</v>
      </c>
    </row>
    <row r="128" spans="1:3" x14ac:dyDescent="0.45">
      <c r="A128" t="s">
        <v>46</v>
      </c>
      <c r="B128" t="s">
        <v>58</v>
      </c>
      <c r="C128">
        <v>19844</v>
      </c>
    </row>
    <row r="129" spans="1:3" x14ac:dyDescent="0.45">
      <c r="A129" t="s">
        <v>42</v>
      </c>
      <c r="B129" t="s">
        <v>58</v>
      </c>
      <c r="C129">
        <v>-0.161</v>
      </c>
    </row>
    <row r="130" spans="1:3" x14ac:dyDescent="0.45">
      <c r="A130" t="s">
        <v>6</v>
      </c>
      <c r="B130" t="s">
        <v>58</v>
      </c>
      <c r="C130">
        <v>-9982</v>
      </c>
    </row>
    <row r="131" spans="1:3" x14ac:dyDescent="0.45">
      <c r="A131" t="s">
        <v>19</v>
      </c>
      <c r="B131" t="s">
        <v>58</v>
      </c>
      <c r="C131">
        <v>9862</v>
      </c>
    </row>
    <row r="132" spans="1:3" x14ac:dyDescent="0.45">
      <c r="A132" t="s">
        <v>23</v>
      </c>
      <c r="B132" t="s">
        <v>58</v>
      </c>
      <c r="C132">
        <v>0.49700000000000005</v>
      </c>
    </row>
    <row r="133" spans="1:3" x14ac:dyDescent="0.45">
      <c r="A133" t="s">
        <v>44</v>
      </c>
      <c r="B133" t="s">
        <v>58</v>
      </c>
      <c r="C133">
        <v>96</v>
      </c>
    </row>
    <row r="134" spans="1:3" x14ac:dyDescent="0.45">
      <c r="A134" t="s">
        <v>39</v>
      </c>
      <c r="B134" t="s">
        <v>58</v>
      </c>
      <c r="C134">
        <v>52</v>
      </c>
    </row>
    <row r="135" spans="1:3" x14ac:dyDescent="0.45">
      <c r="A135" t="s">
        <v>28</v>
      </c>
      <c r="B135" t="s">
        <v>58</v>
      </c>
      <c r="C135">
        <v>-2361</v>
      </c>
    </row>
    <row r="136" spans="1:3" x14ac:dyDescent="0.45">
      <c r="A136" t="s">
        <v>10</v>
      </c>
      <c r="B136" t="s">
        <v>58</v>
      </c>
      <c r="C136">
        <v>-5358</v>
      </c>
    </row>
    <row r="137" spans="1:3" x14ac:dyDescent="0.45">
      <c r="A137" t="s">
        <v>21</v>
      </c>
      <c r="B137" t="s">
        <v>58</v>
      </c>
      <c r="C137">
        <v>-1290</v>
      </c>
    </row>
    <row r="138" spans="1:3" x14ac:dyDescent="0.45">
      <c r="A138" t="s">
        <v>45</v>
      </c>
      <c r="B138" t="s">
        <v>58</v>
      </c>
      <c r="C138">
        <v>-198</v>
      </c>
    </row>
    <row r="139" spans="1:3" x14ac:dyDescent="0.45">
      <c r="A139" t="s">
        <v>47</v>
      </c>
      <c r="B139" t="s">
        <v>58</v>
      </c>
      <c r="C139">
        <v>-9207</v>
      </c>
    </row>
    <row r="140" spans="1:3" x14ac:dyDescent="0.45">
      <c r="A140" t="s">
        <v>34</v>
      </c>
      <c r="B140" t="s">
        <v>58</v>
      </c>
      <c r="C140">
        <v>803</v>
      </c>
    </row>
    <row r="141" spans="1:3" x14ac:dyDescent="0.45">
      <c r="A141" t="s">
        <v>36</v>
      </c>
      <c r="B141" t="s">
        <v>58</v>
      </c>
      <c r="C141">
        <v>0.04</v>
      </c>
    </row>
    <row r="142" spans="1:3" x14ac:dyDescent="0.45">
      <c r="A142" t="s">
        <v>17</v>
      </c>
      <c r="B142" t="s">
        <v>58</v>
      </c>
      <c r="C142">
        <v>26</v>
      </c>
    </row>
    <row r="143" spans="1:3" x14ac:dyDescent="0.45">
      <c r="A143" t="s">
        <v>16</v>
      </c>
      <c r="B143" t="s">
        <v>58</v>
      </c>
      <c r="C143">
        <v>-178</v>
      </c>
    </row>
    <row r="144" spans="1:3" x14ac:dyDescent="0.45">
      <c r="A144" t="s">
        <v>25</v>
      </c>
      <c r="B144" t="s">
        <v>58</v>
      </c>
      <c r="C144">
        <v>651</v>
      </c>
    </row>
    <row r="145" spans="1:3" x14ac:dyDescent="0.45">
      <c r="A145" t="s">
        <v>26</v>
      </c>
      <c r="B145" t="s">
        <v>58</v>
      </c>
      <c r="C145">
        <v>-228</v>
      </c>
    </row>
    <row r="146" spans="1:3" x14ac:dyDescent="0.45">
      <c r="A146" t="s">
        <v>13</v>
      </c>
      <c r="B146" t="s">
        <v>58</v>
      </c>
      <c r="C146">
        <v>0.35</v>
      </c>
    </row>
    <row r="147" spans="1:3" x14ac:dyDescent="0.45">
      <c r="A147" t="s">
        <v>32</v>
      </c>
      <c r="B147" t="s">
        <v>58</v>
      </c>
      <c r="C147">
        <v>423</v>
      </c>
    </row>
    <row r="148" spans="1:3" x14ac:dyDescent="0.45">
      <c r="A148" t="s">
        <v>33</v>
      </c>
      <c r="B148" t="s">
        <v>58</v>
      </c>
      <c r="C148">
        <v>-70</v>
      </c>
    </row>
    <row r="149" spans="1:3" x14ac:dyDescent="0.45">
      <c r="A149" t="s">
        <v>31</v>
      </c>
      <c r="B149" t="s">
        <v>58</v>
      </c>
      <c r="C149">
        <v>353</v>
      </c>
    </row>
    <row r="150" spans="1:3" x14ac:dyDescent="0.45">
      <c r="A150" t="s">
        <v>27</v>
      </c>
      <c r="B150" t="s">
        <v>58</v>
      </c>
      <c r="C150">
        <v>-6</v>
      </c>
    </row>
    <row r="151" spans="1:3" x14ac:dyDescent="0.45">
      <c r="A151" t="s">
        <v>29</v>
      </c>
      <c r="B151" t="s">
        <v>58</v>
      </c>
      <c r="C151">
        <v>347</v>
      </c>
    </row>
    <row r="152" spans="1:3" x14ac:dyDescent="0.45">
      <c r="A152" t="s">
        <v>3</v>
      </c>
      <c r="B152" t="s">
        <v>58</v>
      </c>
      <c r="C152">
        <v>1.79</v>
      </c>
    </row>
    <row r="153" spans="1:3" x14ac:dyDescent="0.45">
      <c r="A153" t="s">
        <v>9</v>
      </c>
      <c r="B153" t="s">
        <v>58</v>
      </c>
      <c r="C153">
        <v>1.78</v>
      </c>
    </row>
    <row r="154" spans="1:3" x14ac:dyDescent="0.45">
      <c r="A154" t="s">
        <v>49</v>
      </c>
      <c r="B154" t="s">
        <v>58</v>
      </c>
      <c r="C154">
        <v>194.3</v>
      </c>
    </row>
    <row r="155" spans="1:3" x14ac:dyDescent="0.45">
      <c r="A155" t="s">
        <v>52</v>
      </c>
      <c r="B155" t="s">
        <v>58</v>
      </c>
      <c r="C155">
        <v>195.1</v>
      </c>
    </row>
    <row r="156" spans="1:3" x14ac:dyDescent="0.45">
      <c r="A156" t="s">
        <v>48</v>
      </c>
      <c r="B156" t="s">
        <v>59</v>
      </c>
      <c r="C156">
        <v>11148</v>
      </c>
    </row>
    <row r="157" spans="1:3" x14ac:dyDescent="0.45">
      <c r="A157" t="s">
        <v>41</v>
      </c>
      <c r="B157" t="s">
        <v>59</v>
      </c>
      <c r="C157">
        <v>9428</v>
      </c>
    </row>
    <row r="158" spans="1:3" x14ac:dyDescent="0.45">
      <c r="A158" t="s">
        <v>37</v>
      </c>
      <c r="B158" t="s">
        <v>59</v>
      </c>
      <c r="C158">
        <v>658</v>
      </c>
    </row>
    <row r="159" spans="1:3" x14ac:dyDescent="0.45">
      <c r="A159" t="s">
        <v>46</v>
      </c>
      <c r="B159" t="s">
        <v>59</v>
      </c>
      <c r="C159">
        <v>21234</v>
      </c>
    </row>
    <row r="160" spans="1:3" x14ac:dyDescent="0.45">
      <c r="A160" t="s">
        <v>42</v>
      </c>
      <c r="B160" t="s">
        <v>59</v>
      </c>
      <c r="C160">
        <v>7.0000000000000007E-2</v>
      </c>
    </row>
    <row r="161" spans="1:3" x14ac:dyDescent="0.45">
      <c r="A161" t="s">
        <v>6</v>
      </c>
      <c r="B161" t="s">
        <v>59</v>
      </c>
      <c r="C161">
        <v>-10511</v>
      </c>
    </row>
    <row r="162" spans="1:3" x14ac:dyDescent="0.45">
      <c r="A162" t="s">
        <v>19</v>
      </c>
      <c r="B162" t="s">
        <v>59</v>
      </c>
      <c r="C162">
        <v>10723</v>
      </c>
    </row>
    <row r="163" spans="1:3" x14ac:dyDescent="0.45">
      <c r="A163" t="s">
        <v>23</v>
      </c>
      <c r="B163" t="s">
        <v>59</v>
      </c>
      <c r="C163">
        <v>0.505</v>
      </c>
    </row>
    <row r="164" spans="1:3" x14ac:dyDescent="0.45">
      <c r="A164" t="s">
        <v>44</v>
      </c>
      <c r="B164" t="s">
        <v>59</v>
      </c>
      <c r="C164">
        <v>104</v>
      </c>
    </row>
    <row r="165" spans="1:3" x14ac:dyDescent="0.45">
      <c r="A165" t="s">
        <v>39</v>
      </c>
      <c r="B165" t="s">
        <v>59</v>
      </c>
      <c r="C165">
        <v>58</v>
      </c>
    </row>
    <row r="166" spans="1:3" x14ac:dyDescent="0.45">
      <c r="A166" t="s">
        <v>28</v>
      </c>
      <c r="B166" t="s">
        <v>59</v>
      </c>
      <c r="C166">
        <v>-2569</v>
      </c>
    </row>
    <row r="167" spans="1:3" x14ac:dyDescent="0.45">
      <c r="A167" t="s">
        <v>10</v>
      </c>
      <c r="B167" t="s">
        <v>59</v>
      </c>
      <c r="C167">
        <v>-4969</v>
      </c>
    </row>
    <row r="168" spans="1:3" x14ac:dyDescent="0.45">
      <c r="A168" t="s">
        <v>21</v>
      </c>
      <c r="B168" t="s">
        <v>59</v>
      </c>
      <c r="C168">
        <v>-1295</v>
      </c>
    </row>
    <row r="169" spans="1:3" x14ac:dyDescent="0.45">
      <c r="A169" t="s">
        <v>45</v>
      </c>
      <c r="B169" t="s">
        <v>59</v>
      </c>
      <c r="C169">
        <v>-212</v>
      </c>
    </row>
    <row r="170" spans="1:3" x14ac:dyDescent="0.45">
      <c r="A170" t="s">
        <v>47</v>
      </c>
      <c r="B170" t="s">
        <v>59</v>
      </c>
      <c r="C170">
        <v>-9045</v>
      </c>
    </row>
    <row r="171" spans="1:3" x14ac:dyDescent="0.45">
      <c r="A171" t="s">
        <v>34</v>
      </c>
      <c r="B171" t="s">
        <v>59</v>
      </c>
      <c r="C171">
        <v>1840</v>
      </c>
    </row>
    <row r="172" spans="1:3" x14ac:dyDescent="0.45">
      <c r="A172" t="s">
        <v>36</v>
      </c>
      <c r="B172" t="s">
        <v>59</v>
      </c>
      <c r="C172">
        <v>8.6999999999999994E-2</v>
      </c>
    </row>
    <row r="173" spans="1:3" x14ac:dyDescent="0.45">
      <c r="A173" t="s">
        <v>17</v>
      </c>
      <c r="B173" t="s">
        <v>59</v>
      </c>
      <c r="C173">
        <v>30</v>
      </c>
    </row>
    <row r="174" spans="1:3" x14ac:dyDescent="0.45">
      <c r="A174" t="s">
        <v>16</v>
      </c>
      <c r="B174" t="s">
        <v>59</v>
      </c>
      <c r="C174">
        <v>-172</v>
      </c>
    </row>
    <row r="175" spans="1:3" x14ac:dyDescent="0.45">
      <c r="A175" t="s">
        <v>25</v>
      </c>
      <c r="B175" t="s">
        <v>59</v>
      </c>
      <c r="C175">
        <v>1698</v>
      </c>
    </row>
    <row r="176" spans="1:3" x14ac:dyDescent="0.45">
      <c r="A176" t="s">
        <v>26</v>
      </c>
      <c r="B176" t="s">
        <v>59</v>
      </c>
      <c r="C176">
        <v>-475</v>
      </c>
    </row>
    <row r="177" spans="1:3" x14ac:dyDescent="0.45">
      <c r="A177" t="s">
        <v>13</v>
      </c>
      <c r="B177" t="s">
        <v>59</v>
      </c>
      <c r="C177">
        <v>0.28000000000000003</v>
      </c>
    </row>
    <row r="178" spans="1:3" x14ac:dyDescent="0.45">
      <c r="A178" t="s">
        <v>32</v>
      </c>
      <c r="B178" t="s">
        <v>59</v>
      </c>
      <c r="C178">
        <v>1223</v>
      </c>
    </row>
    <row r="179" spans="1:3" x14ac:dyDescent="0.45">
      <c r="A179" t="s">
        <v>33</v>
      </c>
      <c r="B179" t="s">
        <v>59</v>
      </c>
      <c r="C179">
        <v>232</v>
      </c>
    </row>
    <row r="180" spans="1:3" x14ac:dyDescent="0.45">
      <c r="A180" t="s">
        <v>31</v>
      </c>
      <c r="B180" t="s">
        <v>59</v>
      </c>
      <c r="C180">
        <v>1455</v>
      </c>
    </row>
    <row r="181" spans="1:3" x14ac:dyDescent="0.45">
      <c r="A181" t="s">
        <v>27</v>
      </c>
      <c r="B181" t="s">
        <v>59</v>
      </c>
      <c r="C181">
        <v>-8</v>
      </c>
    </row>
    <row r="182" spans="1:3" x14ac:dyDescent="0.45">
      <c r="A182" t="s">
        <v>29</v>
      </c>
      <c r="B182" t="s">
        <v>59</v>
      </c>
      <c r="C182">
        <v>1447</v>
      </c>
    </row>
    <row r="183" spans="1:3" x14ac:dyDescent="0.45">
      <c r="A183" t="s">
        <v>3</v>
      </c>
      <c r="B183" t="s">
        <v>59</v>
      </c>
      <c r="C183">
        <v>7.39</v>
      </c>
    </row>
    <row r="184" spans="1:3" x14ac:dyDescent="0.45">
      <c r="A184" t="s">
        <v>9</v>
      </c>
      <c r="B184" t="s">
        <v>59</v>
      </c>
      <c r="C184">
        <v>7.36</v>
      </c>
    </row>
    <row r="185" spans="1:3" x14ac:dyDescent="0.45">
      <c r="A185" t="s">
        <v>49</v>
      </c>
      <c r="B185" t="s">
        <v>59</v>
      </c>
      <c r="C185">
        <v>195.8</v>
      </c>
    </row>
    <row r="186" spans="1:3" x14ac:dyDescent="0.45">
      <c r="A186" t="s">
        <v>52</v>
      </c>
      <c r="B186" t="s">
        <v>59</v>
      </c>
      <c r="C186">
        <v>196.6</v>
      </c>
    </row>
    <row r="187" spans="1:3" x14ac:dyDescent="0.45">
      <c r="A187" t="s">
        <v>12</v>
      </c>
      <c r="B187" t="s">
        <v>59</v>
      </c>
      <c r="C187">
        <v>3.3</v>
      </c>
    </row>
    <row r="188" spans="1:3" x14ac:dyDescent="0.45">
      <c r="A188" t="s">
        <v>48</v>
      </c>
      <c r="B188" t="s">
        <v>60</v>
      </c>
      <c r="C188">
        <v>12156</v>
      </c>
    </row>
    <row r="189" spans="1:3" x14ac:dyDescent="0.45">
      <c r="A189" t="s">
        <v>41</v>
      </c>
      <c r="B189" t="s">
        <v>60</v>
      </c>
      <c r="C189">
        <v>9725</v>
      </c>
    </row>
    <row r="190" spans="1:3" x14ac:dyDescent="0.45">
      <c r="A190" t="s">
        <v>37</v>
      </c>
      <c r="B190" t="s">
        <v>60</v>
      </c>
      <c r="C190">
        <v>630</v>
      </c>
    </row>
    <row r="191" spans="1:3" x14ac:dyDescent="0.45">
      <c r="A191" t="s">
        <v>46</v>
      </c>
      <c r="B191" t="s">
        <v>60</v>
      </c>
      <c r="C191">
        <v>22511</v>
      </c>
    </row>
    <row r="192" spans="1:3" x14ac:dyDescent="0.45">
      <c r="A192" t="s">
        <v>42</v>
      </c>
      <c r="B192" t="s">
        <v>60</v>
      </c>
      <c r="C192">
        <v>0.06</v>
      </c>
    </row>
    <row r="193" spans="1:3" x14ac:dyDescent="0.45">
      <c r="A193" t="s">
        <v>6</v>
      </c>
      <c r="B193" t="s">
        <v>60</v>
      </c>
      <c r="C193">
        <v>-11863</v>
      </c>
    </row>
    <row r="194" spans="1:3" x14ac:dyDescent="0.45">
      <c r="A194" t="s">
        <v>19</v>
      </c>
      <c r="B194" t="s">
        <v>60</v>
      </c>
      <c r="C194">
        <v>10648</v>
      </c>
    </row>
    <row r="195" spans="1:3" x14ac:dyDescent="0.45">
      <c r="A195" t="s">
        <v>23</v>
      </c>
      <c r="B195" t="s">
        <v>60</v>
      </c>
      <c r="C195">
        <v>0.47299999999999998</v>
      </c>
    </row>
    <row r="196" spans="1:3" x14ac:dyDescent="0.45">
      <c r="A196" t="s">
        <v>44</v>
      </c>
      <c r="B196" t="s">
        <v>60</v>
      </c>
      <c r="C196">
        <v>112</v>
      </c>
    </row>
    <row r="197" spans="1:3" x14ac:dyDescent="0.45">
      <c r="A197" t="s">
        <v>39</v>
      </c>
      <c r="B197" t="s">
        <v>60</v>
      </c>
      <c r="C197">
        <v>63</v>
      </c>
    </row>
    <row r="198" spans="1:3" x14ac:dyDescent="0.45">
      <c r="A198" t="s">
        <v>28</v>
      </c>
      <c r="B198" t="s">
        <v>60</v>
      </c>
      <c r="C198">
        <v>-2791</v>
      </c>
    </row>
    <row r="199" spans="1:3" x14ac:dyDescent="0.45">
      <c r="A199" t="s">
        <v>10</v>
      </c>
      <c r="B199" t="s">
        <v>60</v>
      </c>
      <c r="C199">
        <v>-5470</v>
      </c>
    </row>
    <row r="200" spans="1:3" x14ac:dyDescent="0.45">
      <c r="A200" t="s">
        <v>21</v>
      </c>
      <c r="B200" t="s">
        <v>60</v>
      </c>
      <c r="C200">
        <v>-1756</v>
      </c>
    </row>
    <row r="201" spans="1:3" x14ac:dyDescent="0.45">
      <c r="A201" t="s">
        <v>45</v>
      </c>
      <c r="B201" t="s">
        <v>60</v>
      </c>
      <c r="C201">
        <v>-225</v>
      </c>
    </row>
    <row r="202" spans="1:3" x14ac:dyDescent="0.45">
      <c r="A202" t="s">
        <v>47</v>
      </c>
      <c r="B202" t="s">
        <v>60</v>
      </c>
      <c r="C202">
        <v>-10242</v>
      </c>
    </row>
    <row r="203" spans="1:3" x14ac:dyDescent="0.45">
      <c r="A203" t="s">
        <v>22</v>
      </c>
      <c r="B203" t="s">
        <v>60</v>
      </c>
      <c r="C203">
        <v>-194</v>
      </c>
    </row>
    <row r="204" spans="1:3" x14ac:dyDescent="0.45">
      <c r="A204" t="s">
        <v>34</v>
      </c>
      <c r="B204" t="s">
        <v>60</v>
      </c>
      <c r="C204">
        <v>387</v>
      </c>
    </row>
    <row r="205" spans="1:3" x14ac:dyDescent="0.45">
      <c r="A205" t="s">
        <v>36</v>
      </c>
      <c r="B205" t="s">
        <v>60</v>
      </c>
      <c r="C205">
        <v>1.7000000000000001E-2</v>
      </c>
    </row>
    <row r="206" spans="1:3" x14ac:dyDescent="0.45">
      <c r="A206" t="s">
        <v>17</v>
      </c>
      <c r="B206" t="s">
        <v>60</v>
      </c>
      <c r="C206">
        <v>44</v>
      </c>
    </row>
    <row r="207" spans="1:3" x14ac:dyDescent="0.45">
      <c r="A207" t="s">
        <v>16</v>
      </c>
      <c r="B207" t="s">
        <v>60</v>
      </c>
      <c r="C207">
        <v>-199</v>
      </c>
    </row>
    <row r="208" spans="1:3" x14ac:dyDescent="0.45">
      <c r="A208" t="s">
        <v>25</v>
      </c>
      <c r="B208" t="s">
        <v>60</v>
      </c>
      <c r="C208">
        <v>232</v>
      </c>
    </row>
    <row r="209" spans="1:3" x14ac:dyDescent="0.45">
      <c r="A209" t="s">
        <v>26</v>
      </c>
      <c r="B209" t="s">
        <v>60</v>
      </c>
      <c r="C209">
        <v>-174</v>
      </c>
    </row>
    <row r="210" spans="1:3" x14ac:dyDescent="0.45">
      <c r="A210" t="s">
        <v>13</v>
      </c>
      <c r="B210" t="s">
        <v>60</v>
      </c>
      <c r="C210">
        <v>0.75</v>
      </c>
    </row>
    <row r="211" spans="1:3" x14ac:dyDescent="0.45">
      <c r="A211" t="s">
        <v>32</v>
      </c>
      <c r="B211" t="s">
        <v>60</v>
      </c>
      <c r="C211">
        <v>58</v>
      </c>
    </row>
    <row r="212" spans="1:3" x14ac:dyDescent="0.45">
      <c r="A212" t="s">
        <v>31</v>
      </c>
      <c r="B212" t="s">
        <v>60</v>
      </c>
      <c r="C212">
        <v>58</v>
      </c>
    </row>
    <row r="213" spans="1:3" x14ac:dyDescent="0.45">
      <c r="A213" t="s">
        <v>27</v>
      </c>
      <c r="B213" t="s">
        <v>60</v>
      </c>
      <c r="C213">
        <v>-8</v>
      </c>
    </row>
    <row r="214" spans="1:3" x14ac:dyDescent="0.45">
      <c r="A214" t="s">
        <v>29</v>
      </c>
      <c r="B214" t="s">
        <v>60</v>
      </c>
      <c r="C214">
        <v>50</v>
      </c>
    </row>
    <row r="215" spans="1:3" x14ac:dyDescent="0.45">
      <c r="A215" t="s">
        <v>3</v>
      </c>
      <c r="B215" t="s">
        <v>60</v>
      </c>
      <c r="C215">
        <v>0.27</v>
      </c>
    </row>
    <row r="216" spans="1:3" x14ac:dyDescent="0.45">
      <c r="A216" t="s">
        <v>9</v>
      </c>
      <c r="B216" t="s">
        <v>60</v>
      </c>
      <c r="C216">
        <v>0.27</v>
      </c>
    </row>
    <row r="217" spans="1:3" x14ac:dyDescent="0.45">
      <c r="A217" t="s">
        <v>49</v>
      </c>
      <c r="B217" t="s">
        <v>60</v>
      </c>
      <c r="C217">
        <v>183.5</v>
      </c>
    </row>
    <row r="218" spans="1:3" x14ac:dyDescent="0.45">
      <c r="A218" t="s">
        <v>52</v>
      </c>
      <c r="B218" t="s">
        <v>60</v>
      </c>
      <c r="C218">
        <v>184.2</v>
      </c>
    </row>
    <row r="219" spans="1:3" x14ac:dyDescent="0.45">
      <c r="A219" t="s">
        <v>12</v>
      </c>
      <c r="B219" t="s">
        <v>60</v>
      </c>
      <c r="C219">
        <v>0.7</v>
      </c>
    </row>
    <row r="220" spans="1:3" x14ac:dyDescent="0.45">
      <c r="A220" t="s">
        <v>48</v>
      </c>
      <c r="B220" t="s">
        <v>61</v>
      </c>
      <c r="C220">
        <v>11142</v>
      </c>
    </row>
    <row r="221" spans="1:3" x14ac:dyDescent="0.45">
      <c r="A221" t="s">
        <v>41</v>
      </c>
      <c r="B221" t="s">
        <v>61</v>
      </c>
      <c r="C221">
        <v>9706</v>
      </c>
    </row>
    <row r="222" spans="1:3" x14ac:dyDescent="0.45">
      <c r="A222" t="s">
        <v>37</v>
      </c>
      <c r="B222" t="s">
        <v>61</v>
      </c>
      <c r="C222">
        <v>579</v>
      </c>
    </row>
    <row r="223" spans="1:3" x14ac:dyDescent="0.45">
      <c r="A223" t="s">
        <v>46</v>
      </c>
      <c r="B223" t="s">
        <v>61</v>
      </c>
      <c r="C223">
        <v>21427</v>
      </c>
    </row>
    <row r="224" spans="1:3" x14ac:dyDescent="0.45">
      <c r="A224" t="s">
        <v>42</v>
      </c>
      <c r="B224" t="s">
        <v>61</v>
      </c>
      <c r="C224">
        <v>-4.8000000000000001E-2</v>
      </c>
    </row>
    <row r="225" spans="1:3" x14ac:dyDescent="0.45">
      <c r="A225" t="s">
        <v>6</v>
      </c>
      <c r="B225" t="s">
        <v>61</v>
      </c>
      <c r="C225">
        <v>-11249</v>
      </c>
    </row>
    <row r="226" spans="1:3" x14ac:dyDescent="0.45">
      <c r="A226" t="s">
        <v>19</v>
      </c>
      <c r="B226" t="s">
        <v>61</v>
      </c>
      <c r="C226">
        <v>10178</v>
      </c>
    </row>
    <row r="227" spans="1:3" x14ac:dyDescent="0.45">
      <c r="A227" t="s">
        <v>23</v>
      </c>
      <c r="B227" t="s">
        <v>61</v>
      </c>
      <c r="C227">
        <v>0.47499999999999998</v>
      </c>
    </row>
    <row r="228" spans="1:3" x14ac:dyDescent="0.45">
      <c r="A228" t="s">
        <v>44</v>
      </c>
      <c r="B228" t="s">
        <v>61</v>
      </c>
      <c r="C228">
        <v>107</v>
      </c>
    </row>
    <row r="229" spans="1:3" x14ac:dyDescent="0.45">
      <c r="A229" t="s">
        <v>39</v>
      </c>
      <c r="B229" t="s">
        <v>61</v>
      </c>
      <c r="C229">
        <v>55</v>
      </c>
    </row>
    <row r="230" spans="1:3" x14ac:dyDescent="0.45">
      <c r="A230" t="s">
        <v>28</v>
      </c>
      <c r="B230" t="s">
        <v>61</v>
      </c>
      <c r="C230">
        <v>-2636</v>
      </c>
    </row>
    <row r="231" spans="1:3" x14ac:dyDescent="0.45">
      <c r="A231" t="s">
        <v>10</v>
      </c>
      <c r="B231" t="s">
        <v>61</v>
      </c>
      <c r="C231">
        <v>-5528</v>
      </c>
    </row>
    <row r="232" spans="1:3" x14ac:dyDescent="0.45">
      <c r="A232" t="s">
        <v>21</v>
      </c>
      <c r="B232" t="s">
        <v>61</v>
      </c>
      <c r="C232">
        <v>-1564</v>
      </c>
    </row>
    <row r="233" spans="1:3" x14ac:dyDescent="0.45">
      <c r="A233" t="s">
        <v>45</v>
      </c>
      <c r="B233" t="s">
        <v>61</v>
      </c>
      <c r="C233">
        <v>-257</v>
      </c>
    </row>
    <row r="234" spans="1:3" x14ac:dyDescent="0.45">
      <c r="A234" t="s">
        <v>47</v>
      </c>
      <c r="B234" t="s">
        <v>61</v>
      </c>
      <c r="C234">
        <v>-9985</v>
      </c>
    </row>
    <row r="235" spans="1:3" x14ac:dyDescent="0.45">
      <c r="A235" t="s">
        <v>34</v>
      </c>
      <c r="B235" t="s">
        <v>61</v>
      </c>
      <c r="C235">
        <v>355</v>
      </c>
    </row>
    <row r="236" spans="1:3" x14ac:dyDescent="0.45">
      <c r="A236" t="s">
        <v>36</v>
      </c>
      <c r="B236" t="s">
        <v>61</v>
      </c>
      <c r="C236">
        <v>1.7000000000000001E-2</v>
      </c>
    </row>
    <row r="237" spans="1:3" x14ac:dyDescent="0.45">
      <c r="A237" t="s">
        <v>17</v>
      </c>
      <c r="B237" t="s">
        <v>61</v>
      </c>
      <c r="C237">
        <v>62</v>
      </c>
    </row>
    <row r="238" spans="1:3" x14ac:dyDescent="0.45">
      <c r="A238" t="s">
        <v>16</v>
      </c>
      <c r="B238" t="s">
        <v>61</v>
      </c>
      <c r="C238">
        <v>-242</v>
      </c>
    </row>
    <row r="239" spans="1:3" x14ac:dyDescent="0.45">
      <c r="A239" t="s">
        <v>25</v>
      </c>
      <c r="B239" t="s">
        <v>61</v>
      </c>
      <c r="C239">
        <v>175</v>
      </c>
    </row>
    <row r="240" spans="1:3" x14ac:dyDescent="0.45">
      <c r="A240" t="s">
        <v>26</v>
      </c>
      <c r="B240" t="s">
        <v>61</v>
      </c>
      <c r="C240">
        <v>-201</v>
      </c>
    </row>
    <row r="241" spans="1:3" x14ac:dyDescent="0.45">
      <c r="A241" t="s">
        <v>13</v>
      </c>
      <c r="B241" t="s">
        <v>61</v>
      </c>
      <c r="C241">
        <v>1.149</v>
      </c>
    </row>
    <row r="242" spans="1:3" x14ac:dyDescent="0.45">
      <c r="A242" t="s">
        <v>32</v>
      </c>
      <c r="B242" t="s">
        <v>61</v>
      </c>
      <c r="C242">
        <v>-26</v>
      </c>
    </row>
    <row r="243" spans="1:3" x14ac:dyDescent="0.45">
      <c r="A243" t="s">
        <v>31</v>
      </c>
      <c r="B243" t="s">
        <v>61</v>
      </c>
      <c r="C243">
        <v>-26</v>
      </c>
    </row>
    <row r="244" spans="1:3" x14ac:dyDescent="0.45">
      <c r="A244" t="s">
        <v>27</v>
      </c>
      <c r="B244" t="s">
        <v>61</v>
      </c>
      <c r="C244">
        <v>-7</v>
      </c>
    </row>
    <row r="245" spans="1:3" x14ac:dyDescent="0.45">
      <c r="A245" t="s">
        <v>29</v>
      </c>
      <c r="B245" t="s">
        <v>61</v>
      </c>
      <c r="C245">
        <v>-33</v>
      </c>
    </row>
    <row r="246" spans="1:3" x14ac:dyDescent="0.45">
      <c r="A246" t="s">
        <v>3</v>
      </c>
      <c r="B246" t="s">
        <v>61</v>
      </c>
      <c r="C246">
        <v>-0.18</v>
      </c>
    </row>
    <row r="247" spans="1:3" x14ac:dyDescent="0.45">
      <c r="A247" t="s">
        <v>9</v>
      </c>
      <c r="B247" t="s">
        <v>61</v>
      </c>
      <c r="C247">
        <v>-0.18</v>
      </c>
    </row>
    <row r="248" spans="1:3" x14ac:dyDescent="0.45">
      <c r="A248" t="s">
        <v>49</v>
      </c>
      <c r="B248" t="s">
        <v>61</v>
      </c>
      <c r="C248">
        <v>178.6</v>
      </c>
    </row>
    <row r="249" spans="1:3" x14ac:dyDescent="0.45">
      <c r="A249" t="s">
        <v>52</v>
      </c>
      <c r="B249" t="s">
        <v>61</v>
      </c>
      <c r="C249">
        <v>179.3</v>
      </c>
    </row>
    <row r="250" spans="1:3" x14ac:dyDescent="0.45">
      <c r="A250" t="s">
        <v>12</v>
      </c>
      <c r="B250" t="s">
        <v>61</v>
      </c>
      <c r="C250">
        <v>0.7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5D4A-31CB-40A7-9CB7-35DAA6A56A5E}">
  <dimension ref="A1:D45"/>
  <sheetViews>
    <sheetView topLeftCell="A19" zoomScale="85" zoomScaleNormal="85" workbookViewId="0">
      <selection activeCell="A37" sqref="A37:B37"/>
    </sheetView>
  </sheetViews>
  <sheetFormatPr defaultRowHeight="14.25" x14ac:dyDescent="0.45"/>
  <cols>
    <col min="1" max="1" width="53.796875" customWidth="1"/>
    <col min="2" max="2" width="22.53125" customWidth="1"/>
    <col min="3" max="3" width="21.73046875" customWidth="1"/>
    <col min="4" max="4" width="35.1328125" customWidth="1"/>
  </cols>
  <sheetData>
    <row r="1" spans="1:4" ht="24" customHeight="1" x14ac:dyDescent="0.65">
      <c r="A1" s="13" t="s">
        <v>0</v>
      </c>
      <c r="B1" s="13" t="s">
        <v>2</v>
      </c>
      <c r="C1" s="13" t="s">
        <v>1</v>
      </c>
      <c r="D1" s="13" t="s">
        <v>66</v>
      </c>
    </row>
    <row r="2" spans="1:4" x14ac:dyDescent="0.45">
      <c r="A2" t="s">
        <v>3</v>
      </c>
      <c r="B2" t="s">
        <v>4</v>
      </c>
      <c r="C2" t="s">
        <v>5</v>
      </c>
      <c r="D2" t="s">
        <v>3</v>
      </c>
    </row>
    <row r="3" spans="1:4" x14ac:dyDescent="0.45">
      <c r="A3" t="s">
        <v>6</v>
      </c>
      <c r="B3" t="s">
        <v>7</v>
      </c>
      <c r="C3" t="s">
        <v>8</v>
      </c>
      <c r="D3" t="s">
        <v>6</v>
      </c>
    </row>
    <row r="4" spans="1:4" x14ac:dyDescent="0.45">
      <c r="A4" t="s">
        <v>9</v>
      </c>
      <c r="B4" t="s">
        <v>4</v>
      </c>
      <c r="C4" t="s">
        <v>5</v>
      </c>
      <c r="D4" t="s">
        <v>9</v>
      </c>
    </row>
    <row r="5" spans="1:4" x14ac:dyDescent="0.45">
      <c r="A5" t="s">
        <v>10</v>
      </c>
      <c r="B5" t="s">
        <v>11</v>
      </c>
      <c r="C5" t="s">
        <v>8</v>
      </c>
      <c r="D5" t="s">
        <v>10</v>
      </c>
    </row>
    <row r="6" spans="1:4" x14ac:dyDescent="0.45">
      <c r="A6" t="s">
        <v>12</v>
      </c>
      <c r="B6" t="s">
        <v>4</v>
      </c>
      <c r="C6" t="s">
        <v>5</v>
      </c>
      <c r="D6" t="s">
        <v>12</v>
      </c>
    </row>
    <row r="7" spans="1:4" x14ac:dyDescent="0.45">
      <c r="A7" t="s">
        <v>13</v>
      </c>
      <c r="B7" t="s">
        <v>14</v>
      </c>
      <c r="C7" t="s">
        <v>15</v>
      </c>
      <c r="D7" t="s">
        <v>13</v>
      </c>
    </row>
    <row r="8" spans="1:4" x14ac:dyDescent="0.45">
      <c r="A8" t="s">
        <v>16</v>
      </c>
      <c r="B8" t="s">
        <v>14</v>
      </c>
      <c r="C8" t="s">
        <v>8</v>
      </c>
      <c r="D8" t="s">
        <v>16</v>
      </c>
    </row>
    <row r="9" spans="1:4" x14ac:dyDescent="0.45">
      <c r="A9" t="s">
        <v>17</v>
      </c>
      <c r="B9" t="s">
        <v>14</v>
      </c>
      <c r="C9" t="s">
        <v>18</v>
      </c>
      <c r="D9" t="s">
        <v>17</v>
      </c>
    </row>
    <row r="10" spans="1:4" x14ac:dyDescent="0.45">
      <c r="A10" t="s">
        <v>19</v>
      </c>
      <c r="B10" t="s">
        <v>20</v>
      </c>
      <c r="C10" t="s">
        <v>18</v>
      </c>
      <c r="D10" t="s">
        <v>19</v>
      </c>
    </row>
    <row r="11" spans="1:4" x14ac:dyDescent="0.45">
      <c r="A11" t="s">
        <v>21</v>
      </c>
      <c r="B11" t="s">
        <v>11</v>
      </c>
      <c r="C11" t="s">
        <v>8</v>
      </c>
      <c r="D11" t="s">
        <v>21</v>
      </c>
    </row>
    <row r="12" spans="1:4" x14ac:dyDescent="0.45">
      <c r="A12" t="s">
        <v>22</v>
      </c>
      <c r="B12" t="s">
        <v>11</v>
      </c>
      <c r="C12" t="s">
        <v>8</v>
      </c>
      <c r="D12" t="s">
        <v>22</v>
      </c>
    </row>
    <row r="13" spans="1:4" x14ac:dyDescent="0.45">
      <c r="A13" t="s">
        <v>23</v>
      </c>
      <c r="B13" t="s">
        <v>24</v>
      </c>
      <c r="C13" t="s">
        <v>15</v>
      </c>
      <c r="D13" t="s">
        <v>23</v>
      </c>
    </row>
    <row r="14" spans="1:4" x14ac:dyDescent="0.45">
      <c r="A14" t="s">
        <v>25</v>
      </c>
      <c r="B14" t="s">
        <v>14</v>
      </c>
      <c r="C14" t="s">
        <v>18</v>
      </c>
      <c r="D14" t="s">
        <v>25</v>
      </c>
    </row>
    <row r="15" spans="1:4" x14ac:dyDescent="0.45">
      <c r="A15" t="s">
        <v>26</v>
      </c>
      <c r="B15" t="s">
        <v>14</v>
      </c>
      <c r="C15" t="s">
        <v>8</v>
      </c>
      <c r="D15" t="s">
        <v>26</v>
      </c>
    </row>
    <row r="16" spans="1:4" x14ac:dyDescent="0.45">
      <c r="A16" t="s">
        <v>27</v>
      </c>
      <c r="B16" t="s">
        <v>14</v>
      </c>
      <c r="C16" t="s">
        <v>8</v>
      </c>
      <c r="D16" t="s">
        <v>27</v>
      </c>
    </row>
    <row r="17" spans="1:4" x14ac:dyDescent="0.45">
      <c r="A17" t="s">
        <v>28</v>
      </c>
      <c r="B17" t="s">
        <v>11</v>
      </c>
      <c r="C17" t="s">
        <v>8</v>
      </c>
      <c r="D17" t="s">
        <v>28</v>
      </c>
    </row>
    <row r="18" spans="1:4" x14ac:dyDescent="0.45">
      <c r="A18" t="s">
        <v>29</v>
      </c>
      <c r="B18" t="s">
        <v>30</v>
      </c>
      <c r="C18" t="s">
        <v>18</v>
      </c>
      <c r="D18" t="s">
        <v>29</v>
      </c>
    </row>
    <row r="19" spans="1:4" x14ac:dyDescent="0.45">
      <c r="A19" t="s">
        <v>31</v>
      </c>
      <c r="B19" t="s">
        <v>30</v>
      </c>
      <c r="C19" t="s">
        <v>18</v>
      </c>
      <c r="D19" t="s">
        <v>31</v>
      </c>
    </row>
    <row r="20" spans="1:4" x14ac:dyDescent="0.45">
      <c r="A20" t="s">
        <v>32</v>
      </c>
      <c r="B20" t="s">
        <v>30</v>
      </c>
      <c r="C20" t="s">
        <v>18</v>
      </c>
      <c r="D20" t="s">
        <v>32</v>
      </c>
    </row>
    <row r="21" spans="1:4" x14ac:dyDescent="0.45">
      <c r="A21" t="s">
        <v>33</v>
      </c>
      <c r="B21" t="s">
        <v>30</v>
      </c>
      <c r="C21" t="s">
        <v>18</v>
      </c>
      <c r="D21" t="s">
        <v>33</v>
      </c>
    </row>
    <row r="22" spans="1:4" x14ac:dyDescent="0.45">
      <c r="A22" t="s">
        <v>34</v>
      </c>
      <c r="B22" t="s">
        <v>35</v>
      </c>
      <c r="C22" t="s">
        <v>18</v>
      </c>
      <c r="D22" t="s">
        <v>34</v>
      </c>
    </row>
    <row r="23" spans="1:4" x14ac:dyDescent="0.45">
      <c r="A23" t="s">
        <v>36</v>
      </c>
      <c r="B23" t="s">
        <v>24</v>
      </c>
      <c r="C23" t="s">
        <v>15</v>
      </c>
      <c r="D23" t="s">
        <v>36</v>
      </c>
    </row>
    <row r="24" spans="1:4" x14ac:dyDescent="0.45">
      <c r="A24" t="s">
        <v>37</v>
      </c>
      <c r="B24" t="s">
        <v>38</v>
      </c>
      <c r="C24" t="s">
        <v>18</v>
      </c>
      <c r="D24" t="s">
        <v>37</v>
      </c>
    </row>
    <row r="25" spans="1:4" x14ac:dyDescent="0.45">
      <c r="A25" t="s">
        <v>39</v>
      </c>
      <c r="B25" t="s">
        <v>40</v>
      </c>
      <c r="C25" t="s">
        <v>18</v>
      </c>
      <c r="D25" t="s">
        <v>39</v>
      </c>
    </row>
    <row r="26" spans="1:4" x14ac:dyDescent="0.45">
      <c r="A26" t="s">
        <v>41</v>
      </c>
      <c r="B26" t="s">
        <v>38</v>
      </c>
      <c r="C26" t="s">
        <v>18</v>
      </c>
      <c r="D26" t="s">
        <v>41</v>
      </c>
    </row>
    <row r="27" spans="1:4" x14ac:dyDescent="0.45">
      <c r="A27" t="s">
        <v>42</v>
      </c>
      <c r="B27" t="s">
        <v>43</v>
      </c>
      <c r="C27" t="s">
        <v>15</v>
      </c>
      <c r="D27" t="s">
        <v>42</v>
      </c>
    </row>
    <row r="28" spans="1:4" x14ac:dyDescent="0.45">
      <c r="A28" t="s">
        <v>44</v>
      </c>
      <c r="B28" t="s">
        <v>40</v>
      </c>
      <c r="C28" t="s">
        <v>18</v>
      </c>
      <c r="D28" t="s">
        <v>44</v>
      </c>
    </row>
    <row r="29" spans="1:4" x14ac:dyDescent="0.45">
      <c r="A29" t="s">
        <v>45</v>
      </c>
      <c r="B29" t="s">
        <v>11</v>
      </c>
      <c r="C29" t="s">
        <v>8</v>
      </c>
      <c r="D29" t="s">
        <v>45</v>
      </c>
    </row>
    <row r="30" spans="1:4" x14ac:dyDescent="0.45">
      <c r="A30" t="s">
        <v>38</v>
      </c>
      <c r="B30" t="s">
        <v>38</v>
      </c>
      <c r="C30" t="s">
        <v>18</v>
      </c>
      <c r="D30" t="s">
        <v>46</v>
      </c>
    </row>
    <row r="31" spans="1:4" x14ac:dyDescent="0.45">
      <c r="A31" t="s">
        <v>64</v>
      </c>
      <c r="B31" t="s">
        <v>11</v>
      </c>
      <c r="C31" t="s">
        <v>8</v>
      </c>
      <c r="D31" t="s">
        <v>47</v>
      </c>
    </row>
    <row r="32" spans="1:4" x14ac:dyDescent="0.45">
      <c r="A32" t="s">
        <v>48</v>
      </c>
      <c r="B32" t="s">
        <v>38</v>
      </c>
      <c r="C32" t="s">
        <v>18</v>
      </c>
      <c r="D32" t="s">
        <v>48</v>
      </c>
    </row>
    <row r="33" spans="1:4" x14ac:dyDescent="0.45">
      <c r="A33" t="s">
        <v>49</v>
      </c>
      <c r="B33" t="s">
        <v>50</v>
      </c>
      <c r="C33" t="s">
        <v>51</v>
      </c>
      <c r="D33" t="s">
        <v>49</v>
      </c>
    </row>
    <row r="34" spans="1:4" x14ac:dyDescent="0.45">
      <c r="A34" t="s">
        <v>52</v>
      </c>
      <c r="B34" t="s">
        <v>50</v>
      </c>
      <c r="C34" t="s">
        <v>51</v>
      </c>
      <c r="D34" t="s">
        <v>52</v>
      </c>
    </row>
    <row r="37" spans="1:4" ht="16.899999999999999" x14ac:dyDescent="0.65">
      <c r="A37" s="13" t="s">
        <v>192</v>
      </c>
      <c r="B37" s="13" t="s">
        <v>193</v>
      </c>
    </row>
    <row r="38" spans="1:4" x14ac:dyDescent="0.45">
      <c r="A38" t="s">
        <v>79</v>
      </c>
      <c r="B38" t="s">
        <v>69</v>
      </c>
    </row>
    <row r="39" spans="1:4" x14ac:dyDescent="0.45">
      <c r="A39" t="s">
        <v>107</v>
      </c>
      <c r="B39" t="s">
        <v>69</v>
      </c>
    </row>
    <row r="40" spans="1:4" x14ac:dyDescent="0.45">
      <c r="A40" t="s">
        <v>70</v>
      </c>
      <c r="B40" t="s">
        <v>70</v>
      </c>
    </row>
    <row r="41" spans="1:4" x14ac:dyDescent="0.45">
      <c r="A41" t="s">
        <v>194</v>
      </c>
      <c r="B41" t="s">
        <v>71</v>
      </c>
    </row>
    <row r="42" spans="1:4" x14ac:dyDescent="0.45">
      <c r="A42" t="s">
        <v>102</v>
      </c>
      <c r="B42" t="s">
        <v>72</v>
      </c>
    </row>
    <row r="43" spans="1:4" x14ac:dyDescent="0.45">
      <c r="A43" t="s">
        <v>93</v>
      </c>
      <c r="B43" t="s">
        <v>72</v>
      </c>
    </row>
    <row r="44" spans="1:4" x14ac:dyDescent="0.45">
      <c r="A44" t="s">
        <v>73</v>
      </c>
      <c r="B44" t="s">
        <v>73</v>
      </c>
    </row>
    <row r="45" spans="1:4" x14ac:dyDescent="0.45">
      <c r="A45" t="s">
        <v>37</v>
      </c>
      <c r="B45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8CF7-CC4F-4813-AA49-C1C4F1F7A172}">
  <dimension ref="A1:I33"/>
  <sheetViews>
    <sheetView zoomScale="85" zoomScaleNormal="85" workbookViewId="0">
      <selection activeCell="M19" sqref="M19"/>
    </sheetView>
  </sheetViews>
  <sheetFormatPr defaultRowHeight="14.25" x14ac:dyDescent="0.45"/>
  <cols>
    <col min="1" max="1" width="32.86328125" customWidth="1"/>
  </cols>
  <sheetData>
    <row r="1" spans="1:9" ht="16.899999999999999" x14ac:dyDescent="0.65">
      <c r="A1" s="13" t="s">
        <v>67</v>
      </c>
    </row>
    <row r="3" spans="1:9" x14ac:dyDescent="0.45">
      <c r="A3" t="s">
        <v>68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</row>
    <row r="4" spans="1:9" x14ac:dyDescent="0.45">
      <c r="A4" t="s">
        <v>69</v>
      </c>
      <c r="B4">
        <f>'REV BY GEO'!C7+'REV BY GEO'!C10+'REV BY GEO'!C13</f>
        <v>7393</v>
      </c>
      <c r="C4">
        <f>'REV BY GEO'!D7+'REV BY GEO'!D10+'REV BY GEO'!D13</f>
        <v>7956</v>
      </c>
      <c r="D4">
        <f>'REV BY GEO'!E7+'REV BY GEO'!E10+'REV BY GEO'!E13</f>
        <v>7955</v>
      </c>
      <c r="E4">
        <f>'REV BY GEO'!F7+'REV BY GEO'!F10+'REV BY GEO'!F13</f>
        <v>8369</v>
      </c>
      <c r="F4" s="9">
        <f>VALUE('REV BY GEO'!G17)</f>
        <v>7005</v>
      </c>
      <c r="G4" s="9">
        <f>VALUE('REV BY GEO'!H17)</f>
        <v>7432</v>
      </c>
      <c r="H4" s="9">
        <f>VALUE('REV BY GEO'!I17)</f>
        <v>7879</v>
      </c>
      <c r="I4" s="9">
        <f>VALUE('REV BY GEO'!J17)</f>
        <v>7585</v>
      </c>
    </row>
    <row r="5" spans="1:9" x14ac:dyDescent="0.45">
      <c r="A5" t="s">
        <v>70</v>
      </c>
      <c r="B5" t="str">
        <f>'REV BY GEO'!C8</f>
        <v>3,068.0</v>
      </c>
      <c r="C5" t="str">
        <f>'REV BY GEO'!D8</f>
        <v>3,947.0</v>
      </c>
      <c r="D5" t="str">
        <f>'REV BY GEO'!E8</f>
        <v>4,361.0</v>
      </c>
      <c r="E5" t="str">
        <f>'REV BY GEO'!F8</f>
        <v>4,917.0</v>
      </c>
      <c r="F5" s="9">
        <f>VALUE('REV BY GEO'!G18)</f>
        <v>4127</v>
      </c>
      <c r="G5" s="9">
        <f>VALUE('REV BY GEO'!H18)</f>
        <v>5330</v>
      </c>
      <c r="H5" s="9">
        <f>VALUE('REV BY GEO'!I18)</f>
        <v>5921</v>
      </c>
      <c r="I5" s="9">
        <f>VALUE('REV BY GEO'!J18)</f>
        <v>5142</v>
      </c>
    </row>
    <row r="6" spans="1:9" x14ac:dyDescent="0.45">
      <c r="A6" t="s">
        <v>71</v>
      </c>
      <c r="B6" t="str">
        <f>'REV BY GEO'!C9</f>
        <v>2,976.0</v>
      </c>
      <c r="C6" t="str">
        <f>'REV BY GEO'!D9</f>
        <v>3,756.0</v>
      </c>
      <c r="D6" t="str">
        <f>'REV BY GEO'!E9</f>
        <v>4,164.0</v>
      </c>
      <c r="E6" t="str">
        <f>'REV BY GEO'!F9</f>
        <v>4,728.0</v>
      </c>
      <c r="F6" s="9">
        <f>VALUE('REV BY GEO'!G19)</f>
        <v>4346</v>
      </c>
      <c r="G6" s="9">
        <f>VALUE('REV BY GEO'!H19)</f>
        <v>4247</v>
      </c>
      <c r="H6" s="9">
        <f>VALUE('REV BY GEO'!I19)</f>
        <v>3534</v>
      </c>
      <c r="I6" s="9">
        <f>VALUE('REV BY GEO'!J19)</f>
        <v>3257</v>
      </c>
    </row>
    <row r="7" spans="1:9" x14ac:dyDescent="0.45">
      <c r="A7" t="s">
        <v>72</v>
      </c>
      <c r="B7">
        <v>2421</v>
      </c>
      <c r="C7">
        <v>2716</v>
      </c>
      <c r="D7">
        <v>2761</v>
      </c>
      <c r="E7">
        <v>2931</v>
      </c>
      <c r="F7">
        <v>2342</v>
      </c>
      <c r="G7" s="9">
        <v>2060</v>
      </c>
      <c r="H7">
        <v>2656</v>
      </c>
      <c r="I7">
        <v>2807</v>
      </c>
    </row>
    <row r="8" spans="1:9" x14ac:dyDescent="0.45">
      <c r="A8" t="s">
        <v>73</v>
      </c>
      <c r="B8" t="str">
        <f>'REV BY GEO'!C11</f>
        <v>1,645.0</v>
      </c>
      <c r="C8" t="str">
        <f>'REV BY GEO'!D11</f>
        <v>1,740.0</v>
      </c>
      <c r="D8" t="str">
        <f>'REV BY GEO'!E11</f>
        <v>1,688.0</v>
      </c>
      <c r="E8" t="str">
        <f>'REV BY GEO'!F11</f>
        <v>1,726.0</v>
      </c>
      <c r="F8" s="9">
        <f>VALUE('REV BY GEO'!G21)</f>
        <v>1310</v>
      </c>
      <c r="G8" s="9">
        <f>VALUE('REV BY GEO'!H21)</f>
        <v>1507</v>
      </c>
      <c r="H8" s="9">
        <f>VALUE('REV BY GEO'!I21)</f>
        <v>1891</v>
      </c>
      <c r="I8" s="9">
        <f>VALUE('REV BY GEO'!J21)</f>
        <v>2057</v>
      </c>
    </row>
    <row r="9" spans="1:9" x14ac:dyDescent="0.45">
      <c r="A9" t="s">
        <v>37</v>
      </c>
      <c r="B9" t="str">
        <f>'REV BY GEO'!C14</f>
        <v>980.0</v>
      </c>
      <c r="C9" t="str">
        <f>'REV BY GEO'!D14</f>
        <v>1,103.0</v>
      </c>
      <c r="D9" t="str">
        <f>'REV BY GEO'!E14</f>
        <v>986.0</v>
      </c>
      <c r="E9" t="str">
        <f>'REV BY GEO'!F14</f>
        <v>969.0</v>
      </c>
      <c r="F9" s="9">
        <f>VALUE('REV BY GEO'!G22)</f>
        <v>714</v>
      </c>
      <c r="G9" s="9">
        <f>VALUE('REV BY GEO'!H22)</f>
        <v>658</v>
      </c>
      <c r="H9" s="9">
        <f>VALUE('REV BY GEO'!I22)</f>
        <v>630</v>
      </c>
      <c r="I9" s="9">
        <f>VALUE('REV BY GEO'!J22)</f>
        <v>579</v>
      </c>
    </row>
    <row r="11" spans="1:9" ht="16.899999999999999" x14ac:dyDescent="0.65">
      <c r="A11" s="13" t="s">
        <v>195</v>
      </c>
    </row>
    <row r="12" spans="1:9" x14ac:dyDescent="0.45">
      <c r="A12" t="s">
        <v>69</v>
      </c>
      <c r="B12" s="11">
        <f>(I4/B4)-1</f>
        <v>2.5970512647098598E-2</v>
      </c>
    </row>
    <row r="13" spans="1:9" x14ac:dyDescent="0.45">
      <c r="A13" t="s">
        <v>70</v>
      </c>
      <c r="B13" s="11">
        <f t="shared" ref="B13:B17" si="0">(I5/B5)-1</f>
        <v>0.67601043024771834</v>
      </c>
    </row>
    <row r="14" spans="1:9" x14ac:dyDescent="0.45">
      <c r="A14" t="s">
        <v>71</v>
      </c>
      <c r="B14" s="11">
        <f t="shared" si="0"/>
        <v>9.4422043010752743E-2</v>
      </c>
      <c r="C14" s="9"/>
    </row>
    <row r="15" spans="1:9" x14ac:dyDescent="0.45">
      <c r="A15" t="s">
        <v>72</v>
      </c>
      <c r="B15" s="11">
        <f t="shared" si="0"/>
        <v>0.15943824865757961</v>
      </c>
    </row>
    <row r="16" spans="1:9" x14ac:dyDescent="0.45">
      <c r="A16" t="s">
        <v>73</v>
      </c>
      <c r="B16" s="11">
        <f t="shared" si="0"/>
        <v>0.25045592705167175</v>
      </c>
    </row>
    <row r="17" spans="1:2" x14ac:dyDescent="0.45">
      <c r="A17" t="s">
        <v>37</v>
      </c>
      <c r="B17" s="11">
        <f t="shared" si="0"/>
        <v>-0.40918367346938778</v>
      </c>
    </row>
    <row r="19" spans="1:2" ht="16.899999999999999" x14ac:dyDescent="0.65">
      <c r="A19" s="13" t="s">
        <v>196</v>
      </c>
    </row>
    <row r="20" spans="1:2" x14ac:dyDescent="0.45">
      <c r="A20" t="s">
        <v>69</v>
      </c>
      <c r="B20" s="9">
        <f>I4-E4</f>
        <v>-784</v>
      </c>
    </row>
    <row r="21" spans="1:2" x14ac:dyDescent="0.45">
      <c r="A21" t="s">
        <v>70</v>
      </c>
      <c r="B21" s="9">
        <f t="shared" ref="B21:B25" si="1">I5-E5</f>
        <v>225</v>
      </c>
    </row>
    <row r="22" spans="1:2" x14ac:dyDescent="0.45">
      <c r="A22" t="s">
        <v>71</v>
      </c>
      <c r="B22" s="9">
        <f t="shared" si="1"/>
        <v>-1471</v>
      </c>
    </row>
    <row r="23" spans="1:2" x14ac:dyDescent="0.45">
      <c r="A23" t="s">
        <v>72</v>
      </c>
      <c r="B23" s="9">
        <f t="shared" si="1"/>
        <v>-124</v>
      </c>
    </row>
    <row r="24" spans="1:2" x14ac:dyDescent="0.45">
      <c r="A24" t="s">
        <v>73</v>
      </c>
      <c r="B24" s="9">
        <f t="shared" si="1"/>
        <v>331</v>
      </c>
    </row>
    <row r="25" spans="1:2" x14ac:dyDescent="0.45">
      <c r="A25" t="s">
        <v>37</v>
      </c>
      <c r="B25" s="9">
        <f t="shared" si="1"/>
        <v>-390</v>
      </c>
    </row>
    <row r="27" spans="1:2" ht="16.899999999999999" x14ac:dyDescent="0.65">
      <c r="A27" s="13" t="s">
        <v>197</v>
      </c>
    </row>
    <row r="28" spans="1:2" x14ac:dyDescent="0.45">
      <c r="A28" t="s">
        <v>69</v>
      </c>
      <c r="B28" s="11">
        <f>B20/SUM($B$20:$B$25)</f>
        <v>0.35427022141888836</v>
      </c>
    </row>
    <row r="29" spans="1:2" x14ac:dyDescent="0.45">
      <c r="A29" t="s">
        <v>70</v>
      </c>
      <c r="B29" s="11">
        <f t="shared" ref="B29:B32" si="2">B21/SUM($B$20:$B$25)</f>
        <v>-0.10167193854496159</v>
      </c>
    </row>
    <row r="30" spans="1:2" x14ac:dyDescent="0.45">
      <c r="A30" t="s">
        <v>71</v>
      </c>
      <c r="B30" s="11">
        <f t="shared" si="2"/>
        <v>0.66470854044283778</v>
      </c>
    </row>
    <row r="31" spans="1:2" x14ac:dyDescent="0.45">
      <c r="A31" t="s">
        <v>72</v>
      </c>
      <c r="B31" s="11">
        <v>4.3900000000000002E-2</v>
      </c>
    </row>
    <row r="32" spans="1:2" x14ac:dyDescent="0.45">
      <c r="A32" t="s">
        <v>73</v>
      </c>
      <c r="B32" s="11">
        <f t="shared" si="2"/>
        <v>-0.14957071848169906</v>
      </c>
    </row>
    <row r="33" spans="1:2" x14ac:dyDescent="0.45">
      <c r="A33" t="s">
        <v>37</v>
      </c>
      <c r="B33" s="11">
        <f>B25/SUM($B$20:$B$25)</f>
        <v>0.17623136014460009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3184-EA13-4E3F-B6C9-7C2951FC87D5}">
  <dimension ref="A3:F10"/>
  <sheetViews>
    <sheetView workbookViewId="0">
      <selection activeCell="G17" sqref="G17"/>
    </sheetView>
  </sheetViews>
  <sheetFormatPr defaultRowHeight="14.25" x14ac:dyDescent="0.45"/>
  <cols>
    <col min="1" max="1" width="14.3984375" customWidth="1"/>
  </cols>
  <sheetData>
    <row r="3" spans="1:6" x14ac:dyDescent="0.45">
      <c r="A3" s="3" t="s">
        <v>79</v>
      </c>
      <c r="C3" s="5">
        <v>5452</v>
      </c>
      <c r="D3" s="5">
        <v>5856</v>
      </c>
      <c r="E3" s="5">
        <v>5764</v>
      </c>
      <c r="F3" s="5">
        <v>5957</v>
      </c>
    </row>
    <row r="4" spans="1:6" x14ac:dyDescent="0.45">
      <c r="A4" s="3" t="s">
        <v>70</v>
      </c>
      <c r="C4" s="5">
        <v>3068</v>
      </c>
      <c r="D4" s="5">
        <v>3947</v>
      </c>
      <c r="E4" s="5">
        <v>4361</v>
      </c>
      <c r="F4" s="5">
        <v>4917</v>
      </c>
    </row>
    <row r="5" spans="1:6" x14ac:dyDescent="0.45">
      <c r="A5" s="3" t="s">
        <v>88</v>
      </c>
      <c r="C5" s="5">
        <v>2976</v>
      </c>
      <c r="D5" s="5">
        <v>3756</v>
      </c>
      <c r="E5" s="5">
        <v>4164</v>
      </c>
      <c r="F5" s="5">
        <v>4728</v>
      </c>
    </row>
    <row r="6" spans="1:6" x14ac:dyDescent="0.45">
      <c r="A6" s="3" t="s">
        <v>93</v>
      </c>
      <c r="C6" s="4">
        <v>721</v>
      </c>
      <c r="D6" s="4">
        <v>700</v>
      </c>
      <c r="E6" s="4">
        <v>679</v>
      </c>
      <c r="F6" s="4">
        <v>686</v>
      </c>
    </row>
    <row r="7" spans="1:6" x14ac:dyDescent="0.45">
      <c r="A7" s="3" t="s">
        <v>73</v>
      </c>
      <c r="C7" s="5">
        <v>1645</v>
      </c>
      <c r="D7" s="5">
        <v>1740</v>
      </c>
      <c r="E7" s="5">
        <v>1688</v>
      </c>
      <c r="F7" s="5">
        <v>1726</v>
      </c>
    </row>
    <row r="8" spans="1:6" x14ac:dyDescent="0.45">
      <c r="A8" s="3" t="s">
        <v>102</v>
      </c>
      <c r="C8" s="5">
        <v>2421</v>
      </c>
      <c r="D8" s="5">
        <v>2716</v>
      </c>
      <c r="E8" s="5">
        <v>2761</v>
      </c>
      <c r="F8" s="5">
        <v>2931</v>
      </c>
    </row>
    <row r="9" spans="1:6" x14ac:dyDescent="0.45">
      <c r="A9" s="3" t="s">
        <v>107</v>
      </c>
      <c r="C9" s="5">
        <v>1220</v>
      </c>
      <c r="D9" s="5">
        <v>1400</v>
      </c>
      <c r="E9" s="5">
        <v>1512</v>
      </c>
      <c r="F9" s="5">
        <v>1726</v>
      </c>
    </row>
    <row r="10" spans="1:6" x14ac:dyDescent="0.45">
      <c r="A10" s="3" t="s">
        <v>37</v>
      </c>
      <c r="C10" s="4">
        <v>980</v>
      </c>
      <c r="D10" s="5">
        <v>1103</v>
      </c>
      <c r="E10" s="4">
        <v>986</v>
      </c>
      <c r="F10" s="4">
        <v>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A6637-19BE-449D-8797-7A38A76B37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 BY GEO</vt:lpstr>
      <vt:lpstr>Master P&amp;L</vt:lpstr>
      <vt:lpstr>Summary</vt:lpstr>
      <vt:lpstr>Cleaned Data</vt:lpstr>
      <vt:lpstr>Lookup</vt:lpstr>
      <vt:lpstr>Comparable Regional View</vt:lpstr>
      <vt:lpstr>Raw Region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Tyagi</dc:creator>
  <cp:lastModifiedBy>Anurag Tyagi</cp:lastModifiedBy>
  <cp:lastPrinted>2026-09-26T07:16:15Z</cp:lastPrinted>
  <dcterms:created xsi:type="dcterms:W3CDTF">2026-09-22T07:39:08Z</dcterms:created>
  <dcterms:modified xsi:type="dcterms:W3CDTF">2026-09-27T17:16:25Z</dcterms:modified>
</cp:coreProperties>
</file>